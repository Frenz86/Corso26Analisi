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nie\Il mio Drive\Lesson\FITSTIC\_OLD\FITSTIC_SALESIANI\Corso25Analisi\"/>
    </mc:Choice>
  </mc:AlternateContent>
  <xr:revisionPtr revIDLastSave="0" documentId="13_ncr:1_{C2430FDB-08A1-43AB-8155-16CAA153E82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12" i="1"/>
  <c r="L20" i="1"/>
  <c r="L19" i="1"/>
  <c r="L18" i="1"/>
  <c r="L17" i="1"/>
  <c r="L16" i="1"/>
  <c r="L15" i="1"/>
  <c r="L14" i="1"/>
  <c r="L13" i="1"/>
  <c r="L11" i="1"/>
  <c r="L10" i="1"/>
  <c r="L9" i="1"/>
  <c r="L8" i="1"/>
  <c r="L7" i="1"/>
  <c r="L6" i="1"/>
  <c r="L5" i="1"/>
  <c r="L4" i="1"/>
  <c r="L3" i="1"/>
  <c r="L2" i="1"/>
  <c r="I17" i="1"/>
</calcChain>
</file>

<file path=xl/sharedStrings.xml><?xml version="1.0" encoding="utf-8"?>
<sst xmlns="http://schemas.openxmlformats.org/spreadsheetml/2006/main" count="84" uniqueCount="59">
  <si>
    <t>EmpID</t>
  </si>
  <si>
    <t>Name</t>
  </si>
  <si>
    <t>Department</t>
  </si>
  <si>
    <t>Location</t>
  </si>
  <si>
    <t>Salary</t>
  </si>
  <si>
    <t>Bonus %</t>
  </si>
  <si>
    <t>Risolvi esercizi utilizzando il Cerca.Vert</t>
  </si>
  <si>
    <t>Soluzione</t>
  </si>
  <si>
    <t>Alice Wong</t>
  </si>
  <si>
    <t>Finance</t>
  </si>
  <si>
    <t>New York</t>
  </si>
  <si>
    <t>Trova il Name del dipendente con EmpID = 104.</t>
  </si>
  <si>
    <t>Bob Smith</t>
  </si>
  <si>
    <t>Marketing</t>
  </si>
  <si>
    <t>Chicago</t>
  </si>
  <si>
    <t>Trova il Department del dipendente 106.</t>
  </si>
  <si>
    <t>Carol Jones</t>
  </si>
  <si>
    <t>IT</t>
  </si>
  <si>
    <t>San Diego</t>
  </si>
  <si>
    <t>Trova il Salary del dipendente 102.</t>
  </si>
  <si>
    <t>David Chen</t>
  </si>
  <si>
    <t>HR</t>
  </si>
  <si>
    <t>Recupera il Bonus % per EmpID = 109.</t>
  </si>
  <si>
    <t>Emily Davis</t>
  </si>
  <si>
    <t>Trova la Location del dipendente 101.</t>
  </si>
  <si>
    <t>Frank Lee</t>
  </si>
  <si>
    <t>Boston</t>
  </si>
  <si>
    <t>Usando EmpID, ottieni il Salary di 110.</t>
  </si>
  <si>
    <t>Grace Hall</t>
  </si>
  <si>
    <t>Recupera il Department di 103.</t>
  </si>
  <si>
    <t>Henry Adams</t>
  </si>
  <si>
    <t>Trova il Name del dipendente che guadagna 62.000.</t>
  </si>
  <si>
    <t>Irene Scott</t>
  </si>
  <si>
    <t>Trova il Salary di 105 e aggiungi il Bonus % per calcolare la retribuzione totale.</t>
  </si>
  <si>
    <t>Jack White</t>
  </si>
  <si>
    <t>Cerca la Location di 107.</t>
  </si>
  <si>
    <t>Trova il Bonus % di 102 e calcola l'importo del bonus.</t>
  </si>
  <si>
    <t>Restituisci il Department del dipendente 108.</t>
  </si>
  <si>
    <t>Ottieni il Name del dipendente 109.</t>
  </si>
  <si>
    <t>Trova il Salary del dipendente a Boston (Finance).</t>
  </si>
  <si>
    <t>Recupera il Department di 101.</t>
  </si>
  <si>
    <t>Trova il Bonus % del dipendente con lo stipendio più alto (EmpID 110).</t>
  </si>
  <si>
    <t>Cerca il Salary di 103 e applica un incremento del 5%.</t>
  </si>
  <si>
    <t>Trova la Location di 105.</t>
  </si>
  <si>
    <t>Per EmpID 107, calcola Salary + (Salary * Bonus %).</t>
  </si>
  <si>
    <t>Restituisci il Name del dipendente 106</t>
  </si>
  <si>
    <t>Domande</t>
  </si>
  <si>
    <t>A cosa serve la tabella pivot?</t>
  </si>
  <si>
    <t>Che differenza c'è tra il cercavert e la tabella pivot?</t>
  </si>
  <si>
    <t>Che differenza c'è tra la tabella pivot ed il somma.se?</t>
  </si>
  <si>
    <t>A cosa servono i filtri di excel?</t>
  </si>
  <si>
    <t>Rif1</t>
  </si>
  <si>
    <t>Rif2</t>
  </si>
  <si>
    <t>Quali sono le differenze tra excel ed un database?quali le analogie?</t>
  </si>
  <si>
    <t>Spiega il concetto di foreign key</t>
  </si>
  <si>
    <t>Spiega la differenza tra dati strutturati e non strutturati</t>
  </si>
  <si>
    <t>Qual è la differenza tra un database relazionale e un database non relazionale (NoSQL)?</t>
  </si>
  <si>
    <t>Spiega la differenza tra AI Generativa e Discriminativa</t>
  </si>
  <si>
    <t>Che cos'è una chiave primaria e perché è importante in una tabella di databas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</si>
</sst>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left"/>
    </xf>
    <xf numFmtId="9" fontId="0" fillId="0" borderId="1" xfId="2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1" fillId="4" borderId="0" xfId="0" applyFont="1" applyFill="1" applyAlignment="1">
      <alignment vertical="top"/>
    </xf>
    <xf numFmtId="164" fontId="0" fillId="0" borderId="1" xfId="0" applyNumberFormat="1" applyBorder="1"/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3" zoomScale="114" workbookViewId="0">
      <selection activeCell="K24" sqref="K24:K33"/>
    </sheetView>
  </sheetViews>
  <sheetFormatPr defaultRowHeight="14.6" x14ac:dyDescent="0.4"/>
  <cols>
    <col min="1" max="1" width="7.07421875" customWidth="1"/>
    <col min="2" max="2" width="10.921875" customWidth="1"/>
    <col min="3" max="3" width="10.921875" bestFit="1" customWidth="1"/>
    <col min="4" max="4" width="8.921875" bestFit="1" customWidth="1"/>
    <col min="5" max="5" width="11.53515625" bestFit="1" customWidth="1"/>
    <col min="6" max="6" width="7.53515625" customWidth="1"/>
    <col min="7" max="7" width="11.4609375" customWidth="1"/>
    <col min="8" max="8" width="7.53515625" customWidth="1"/>
    <col min="10" max="10" width="6.84375" customWidth="1"/>
    <col min="11" max="11" width="65.3046875" bestFit="1" customWidth="1"/>
    <col min="12" max="12" width="11" style="6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I1" s="13" t="s">
        <v>51</v>
      </c>
      <c r="J1" s="13" t="s">
        <v>52</v>
      </c>
      <c r="K1" s="2" t="s">
        <v>6</v>
      </c>
      <c r="L1" s="3" t="s">
        <v>7</v>
      </c>
    </row>
    <row r="2" spans="1:12" x14ac:dyDescent="0.4">
      <c r="A2" s="4">
        <v>101</v>
      </c>
      <c r="B2" s="4" t="s">
        <v>8</v>
      </c>
      <c r="C2" s="4" t="s">
        <v>9</v>
      </c>
      <c r="D2" s="4" t="s">
        <v>10</v>
      </c>
      <c r="E2" s="5">
        <v>65000</v>
      </c>
      <c r="F2" s="9">
        <v>0.1</v>
      </c>
      <c r="G2" s="4" t="s">
        <v>8</v>
      </c>
      <c r="I2" s="7">
        <v>104</v>
      </c>
      <c r="J2" s="7"/>
      <c r="K2" s="7" t="s">
        <v>11</v>
      </c>
      <c r="L2" s="8" t="str">
        <f>VLOOKUP(I2,$A$1:$F$11,2,FALSE)</f>
        <v>David Chen</v>
      </c>
    </row>
    <row r="3" spans="1:12" x14ac:dyDescent="0.4">
      <c r="A3" s="4">
        <v>102</v>
      </c>
      <c r="B3" s="4" t="s">
        <v>12</v>
      </c>
      <c r="C3" s="4" t="s">
        <v>13</v>
      </c>
      <c r="D3" s="4" t="s">
        <v>14</v>
      </c>
      <c r="E3" s="5">
        <v>72000</v>
      </c>
      <c r="F3" s="9">
        <v>0.12</v>
      </c>
      <c r="G3" s="4" t="s">
        <v>12</v>
      </c>
      <c r="I3" s="7">
        <v>106</v>
      </c>
      <c r="J3" s="7"/>
      <c r="K3" s="7" t="s">
        <v>15</v>
      </c>
      <c r="L3" s="8" t="str">
        <f>VLOOKUP(I3,$A$1:$F$11,3,FALSE)</f>
        <v>Marketing</v>
      </c>
    </row>
    <row r="4" spans="1:12" x14ac:dyDescent="0.4">
      <c r="A4" s="4">
        <v>103</v>
      </c>
      <c r="B4" s="4" t="s">
        <v>16</v>
      </c>
      <c r="C4" s="4" t="s">
        <v>17</v>
      </c>
      <c r="D4" s="4" t="s">
        <v>18</v>
      </c>
      <c r="E4" s="5">
        <v>80000</v>
      </c>
      <c r="F4" s="9">
        <v>0.08</v>
      </c>
      <c r="G4" s="4" t="s">
        <v>16</v>
      </c>
      <c r="I4" s="7">
        <v>102</v>
      </c>
      <c r="J4" s="7"/>
      <c r="K4" s="7" t="s">
        <v>19</v>
      </c>
      <c r="L4" s="8">
        <f>VLOOKUP(I4,$A$1:$F$11,5,FALSE)</f>
        <v>72000</v>
      </c>
    </row>
    <row r="5" spans="1:12" x14ac:dyDescent="0.4">
      <c r="A5" s="4">
        <v>104</v>
      </c>
      <c r="B5" s="4" t="s">
        <v>20</v>
      </c>
      <c r="C5" s="4" t="s">
        <v>21</v>
      </c>
      <c r="D5" s="4" t="s">
        <v>10</v>
      </c>
      <c r="E5" s="5">
        <v>58000</v>
      </c>
      <c r="F5" s="9">
        <v>0.09</v>
      </c>
      <c r="G5" s="4" t="s">
        <v>20</v>
      </c>
      <c r="I5" s="7">
        <v>109</v>
      </c>
      <c r="J5" s="7"/>
      <c r="K5" s="7" t="s">
        <v>22</v>
      </c>
      <c r="L5" s="10">
        <f>VLOOKUP(I5,$A$1:$F$11,6,FALSE)</f>
        <v>0.1</v>
      </c>
    </row>
    <row r="6" spans="1:12" x14ac:dyDescent="0.4">
      <c r="A6" s="4">
        <v>105</v>
      </c>
      <c r="B6" s="4" t="s">
        <v>23</v>
      </c>
      <c r="C6" s="4" t="s">
        <v>9</v>
      </c>
      <c r="D6" s="4" t="s">
        <v>14</v>
      </c>
      <c r="E6" s="5">
        <v>62000</v>
      </c>
      <c r="F6" s="9">
        <v>0.11</v>
      </c>
      <c r="G6" s="4" t="s">
        <v>23</v>
      </c>
      <c r="I6" s="7">
        <v>101</v>
      </c>
      <c r="J6" s="7"/>
      <c r="K6" s="7" t="s">
        <v>24</v>
      </c>
      <c r="L6" s="8" t="str">
        <f>VLOOKUP(I6,$A$1:$F$11,4,FALSE)</f>
        <v>New York</v>
      </c>
    </row>
    <row r="7" spans="1:12" x14ac:dyDescent="0.4">
      <c r="A7" s="4">
        <v>106</v>
      </c>
      <c r="B7" s="4" t="s">
        <v>25</v>
      </c>
      <c r="C7" s="4" t="s">
        <v>13</v>
      </c>
      <c r="D7" s="4" t="s">
        <v>26</v>
      </c>
      <c r="E7" s="5">
        <v>76000</v>
      </c>
      <c r="F7" s="9">
        <v>0.1</v>
      </c>
      <c r="G7" s="4" t="s">
        <v>25</v>
      </c>
      <c r="I7" s="7">
        <v>110</v>
      </c>
      <c r="J7" s="7"/>
      <c r="K7" s="7" t="s">
        <v>27</v>
      </c>
      <c r="L7" s="11">
        <f>VLOOKUP(I7,$A$1:$F$11,5,FALSE)</f>
        <v>85000</v>
      </c>
    </row>
    <row r="8" spans="1:12" x14ac:dyDescent="0.4">
      <c r="A8" s="4">
        <v>107</v>
      </c>
      <c r="B8" s="4" t="s">
        <v>28</v>
      </c>
      <c r="C8" s="4" t="s">
        <v>17</v>
      </c>
      <c r="D8" s="4" t="s">
        <v>18</v>
      </c>
      <c r="E8" s="5">
        <v>82000</v>
      </c>
      <c r="F8" s="9">
        <v>7.0000000000000007E-2</v>
      </c>
      <c r="G8" s="4" t="s">
        <v>28</v>
      </c>
      <c r="I8" s="7">
        <v>103</v>
      </c>
      <c r="J8" s="7"/>
      <c r="K8" s="7" t="s">
        <v>29</v>
      </c>
      <c r="L8" s="8" t="str">
        <f>VLOOKUP(I8,$A$1:$F$11,3,FALSE)</f>
        <v>IT</v>
      </c>
    </row>
    <row r="9" spans="1:12" x14ac:dyDescent="0.4">
      <c r="A9" s="4">
        <v>108</v>
      </c>
      <c r="B9" s="4" t="s">
        <v>30</v>
      </c>
      <c r="C9" s="4" t="s">
        <v>21</v>
      </c>
      <c r="D9" s="4" t="s">
        <v>14</v>
      </c>
      <c r="E9" s="5">
        <v>55000</v>
      </c>
      <c r="F9" s="9">
        <v>0.09</v>
      </c>
      <c r="G9" s="4" t="s">
        <v>30</v>
      </c>
      <c r="I9" s="14">
        <v>62000</v>
      </c>
      <c r="J9" s="7"/>
      <c r="K9" s="7" t="s">
        <v>31</v>
      </c>
      <c r="L9" s="8" t="str">
        <f>VLOOKUP(I9,$E$1:$G$11,3,FALSE)</f>
        <v>Emily Davis</v>
      </c>
    </row>
    <row r="10" spans="1:12" x14ac:dyDescent="0.4">
      <c r="A10" s="4">
        <v>109</v>
      </c>
      <c r="B10" s="4" t="s">
        <v>32</v>
      </c>
      <c r="C10" s="4" t="s">
        <v>9</v>
      </c>
      <c r="D10" s="4" t="s">
        <v>26</v>
      </c>
      <c r="E10" s="5">
        <v>68000</v>
      </c>
      <c r="F10" s="9">
        <v>0.1</v>
      </c>
      <c r="G10" s="4" t="s">
        <v>32</v>
      </c>
      <c r="I10" s="7">
        <v>105</v>
      </c>
      <c r="J10" s="7"/>
      <c r="K10" s="7" t="s">
        <v>33</v>
      </c>
      <c r="L10" s="8">
        <f>VLOOKUP(I10,$A$1:$F$11,5,FALSE)*(1+VLOOKUP(I10,$A$1:$F$11,6,FALSE))</f>
        <v>68820</v>
      </c>
    </row>
    <row r="11" spans="1:12" x14ac:dyDescent="0.4">
      <c r="A11" s="4">
        <v>110</v>
      </c>
      <c r="B11" s="4" t="s">
        <v>34</v>
      </c>
      <c r="C11" s="4" t="s">
        <v>17</v>
      </c>
      <c r="D11" s="4" t="s">
        <v>10</v>
      </c>
      <c r="E11" s="5">
        <v>85000</v>
      </c>
      <c r="F11" s="9">
        <v>0.12</v>
      </c>
      <c r="G11" s="4" t="s">
        <v>34</v>
      </c>
      <c r="I11" s="7">
        <v>107</v>
      </c>
      <c r="J11" s="7"/>
      <c r="K11" s="7" t="s">
        <v>35</v>
      </c>
      <c r="L11" s="8" t="str">
        <f>VLOOKUP(I11,$A$1:$F$11,4,FALSE)</f>
        <v>San Diego</v>
      </c>
    </row>
    <row r="12" spans="1:12" x14ac:dyDescent="0.4">
      <c r="I12" s="7">
        <v>102</v>
      </c>
      <c r="J12" s="7"/>
      <c r="K12" s="7" t="s">
        <v>36</v>
      </c>
      <c r="L12" s="12">
        <f>VLOOKUP(I12,$A$1:$F$11,6,FALSE)*VLOOKUP(I12,$A$1:$F$11,5,FALSE)</f>
        <v>8640</v>
      </c>
    </row>
    <row r="13" spans="1:12" x14ac:dyDescent="0.4">
      <c r="I13" s="7">
        <v>108</v>
      </c>
      <c r="J13" s="7"/>
      <c r="K13" s="7" t="s">
        <v>37</v>
      </c>
      <c r="L13" s="10" t="str">
        <f>VLOOKUP(I13,$A$1:$F$11,3,FALSE)</f>
        <v>HR</v>
      </c>
    </row>
    <row r="14" spans="1:12" x14ac:dyDescent="0.4">
      <c r="I14" s="7">
        <v>109</v>
      </c>
      <c r="J14" s="7"/>
      <c r="K14" s="7" t="s">
        <v>38</v>
      </c>
      <c r="L14" s="10" t="str">
        <f>VLOOKUP(I14,$A$1:$F$11,2,FALSE)</f>
        <v>Irene Scott</v>
      </c>
    </row>
    <row r="15" spans="1:12" x14ac:dyDescent="0.4">
      <c r="I15" s="7" t="s">
        <v>26</v>
      </c>
      <c r="J15" s="7" t="s">
        <v>9</v>
      </c>
      <c r="K15" s="7" t="s">
        <v>39</v>
      </c>
      <c r="L15" s="8">
        <f>SUMIFS(E2:E11,C2:C11,"Finance",D2:D11,"Boston")</f>
        <v>68000</v>
      </c>
    </row>
    <row r="16" spans="1:12" x14ac:dyDescent="0.4">
      <c r="I16" s="7">
        <v>101</v>
      </c>
      <c r="J16" s="7"/>
      <c r="K16" s="7" t="s">
        <v>40</v>
      </c>
      <c r="L16" s="10" t="str">
        <f>VLOOKUP(I16,$A$1:$F$11,3,FALSE)</f>
        <v>Finance</v>
      </c>
    </row>
    <row r="17" spans="9:12" x14ac:dyDescent="0.4">
      <c r="I17" s="14">
        <f>MAX(E2:E11)</f>
        <v>85000</v>
      </c>
      <c r="J17" s="7"/>
      <c r="K17" s="7" t="s">
        <v>41</v>
      </c>
      <c r="L17" s="10">
        <f>VLOOKUP(I17,$E$1:$F$11,2,FALSE)</f>
        <v>0.12</v>
      </c>
    </row>
    <row r="18" spans="9:12" x14ac:dyDescent="0.4">
      <c r="I18" s="7">
        <v>103</v>
      </c>
      <c r="J18" s="7">
        <v>0.05</v>
      </c>
      <c r="K18" s="7" t="s">
        <v>42</v>
      </c>
      <c r="L18" s="11">
        <f>VLOOKUP(I18,$A$1:$F$11,5,FALSE)*(1+J18)</f>
        <v>84000</v>
      </c>
    </row>
    <row r="19" spans="9:12" x14ac:dyDescent="0.4">
      <c r="I19" s="7">
        <v>105</v>
      </c>
      <c r="J19" s="7"/>
      <c r="K19" s="7" t="s">
        <v>43</v>
      </c>
      <c r="L19" s="10" t="str">
        <f>VLOOKUP(I19,$A$1:$F$11,4,FALSE)</f>
        <v>Chicago</v>
      </c>
    </row>
    <row r="20" spans="9:12" x14ac:dyDescent="0.4">
      <c r="I20" s="7">
        <v>106</v>
      </c>
      <c r="J20" s="7"/>
      <c r="K20" s="7" t="s">
        <v>45</v>
      </c>
      <c r="L20" s="10" t="str">
        <f>VLOOKUP(I20,$A$1:$F$11,2,FALSE)</f>
        <v>Frank Lee</v>
      </c>
    </row>
    <row r="21" spans="9:12" x14ac:dyDescent="0.4">
      <c r="I21" s="7">
        <v>107</v>
      </c>
      <c r="J21" s="7"/>
      <c r="K21" s="7" t="s">
        <v>44</v>
      </c>
      <c r="L21" s="12">
        <f>VLOOKUP(I21,$A$1:$F$11,5,FALSE)*(1+VLOOKUP(I21,$A$1:$F$11,6,FALSE))</f>
        <v>87740</v>
      </c>
    </row>
    <row r="23" spans="9:12" x14ac:dyDescent="0.4">
      <c r="K23" s="2" t="s">
        <v>46</v>
      </c>
    </row>
    <row r="24" spans="9:12" x14ac:dyDescent="0.4">
      <c r="K24" t="s">
        <v>47</v>
      </c>
    </row>
    <row r="25" spans="9:12" x14ac:dyDescent="0.4">
      <c r="K25" t="s">
        <v>48</v>
      </c>
    </row>
    <row r="26" spans="9:12" x14ac:dyDescent="0.4">
      <c r="K26" t="s">
        <v>49</v>
      </c>
    </row>
    <row r="27" spans="9:12" x14ac:dyDescent="0.4">
      <c r="K27" t="s">
        <v>50</v>
      </c>
    </row>
    <row r="28" spans="9:12" x14ac:dyDescent="0.4">
      <c r="K28" t="s">
        <v>53</v>
      </c>
    </row>
    <row r="29" spans="9:12" x14ac:dyDescent="0.4">
      <c r="K29" t="s">
        <v>54</v>
      </c>
    </row>
    <row r="30" spans="9:12" x14ac:dyDescent="0.4">
      <c r="K30" t="s">
        <v>55</v>
      </c>
    </row>
    <row r="31" spans="9:12" x14ac:dyDescent="0.4">
      <c r="K31" t="s">
        <v>56</v>
      </c>
    </row>
    <row r="32" spans="9:12" x14ac:dyDescent="0.4">
      <c r="K32" t="s">
        <v>57</v>
      </c>
    </row>
    <row r="33" spans="11:11" x14ac:dyDescent="0.4">
      <c r="K3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2015-06-05T18:17:20Z</dcterms:created>
  <dcterms:modified xsi:type="dcterms:W3CDTF">2026-01-07T23:25:13Z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2025-11-25T09:21:01Z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46d67db0-7e9b-4432-80c7-b58b027622f2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