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Il mio Drive\Lesson\FITSTIC\_OLD\FITSTIC_SALESIANI\Corso26Analisi\Less01\"/>
    </mc:Choice>
  </mc:AlternateContent>
  <xr:revisionPtr revIDLastSave="0" documentId="13_ncr:1_{5E2ED88C-22FA-431F-84A1-D8EB575BD3E2}" xr6:coauthVersionLast="47" xr6:coauthVersionMax="47" xr10:uidLastSave="{00000000-0000-0000-0000-000000000000}"/>
  <bookViews>
    <workbookView xWindow="-108" yWindow="-108" windowWidth="23256" windowHeight="13896" xr2:uid="{53ECDA96-0164-449F-A97E-2FF91888DEDE}"/>
  </bookViews>
  <sheets>
    <sheet name="Prodotti" sheetId="1" r:id="rId1"/>
    <sheet name="Foglio1" sheetId="2" r:id="rId2"/>
  </sheets>
  <definedNames>
    <definedName name="_xlnm._FilterDatabase" localSheetId="0" hidden="1">Prodotti!$I$1:$J$1</definedName>
    <definedName name="Prodotti">Prodotti!$A$1:$A$26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2" i="1"/>
  <c r="L2" i="1" a="1"/>
  <c r="L2" i="1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<sst xmlns="http://schemas.openxmlformats.org/spreadsheetml/2006/main" count="260" uniqueCount="37">
  <si>
    <t>Compressore 50 KW</t>
  </si>
  <si>
    <t>Compressore 20 KW</t>
  </si>
  <si>
    <t>Compressore meccanico</t>
  </si>
  <si>
    <t>Compressore pneumeatico</t>
  </si>
  <si>
    <t>Pompa elettrica 20 KW</t>
  </si>
  <si>
    <t>Pompa elettrica 30 KW</t>
  </si>
  <si>
    <t>Pompa elettrica 40 KW</t>
  </si>
  <si>
    <t>Aspiratore 10 KW</t>
  </si>
  <si>
    <t>Aspiratore 20 KW</t>
  </si>
  <si>
    <t>Pompa pneumatica</t>
  </si>
  <si>
    <t>Trapano</t>
  </si>
  <si>
    <t>Trapano a percussione</t>
  </si>
  <si>
    <t>Prodotto</t>
  </si>
  <si>
    <t>Giacenza</t>
  </si>
  <si>
    <t>Prezzo Unitario</t>
  </si>
  <si>
    <t>Scorta Minima</t>
  </si>
  <si>
    <t>Compressore idraulico</t>
  </si>
  <si>
    <t>Pompa idraulica</t>
  </si>
  <si>
    <t>Aspirtore portatile</t>
  </si>
  <si>
    <t>Compressore 15 KW</t>
  </si>
  <si>
    <t>Compressore 10 KW</t>
  </si>
  <si>
    <t>Compressore 5 KW</t>
  </si>
  <si>
    <t>Pompa elettrica 50 KW</t>
  </si>
  <si>
    <t>Pompa elettrica 60 KW</t>
  </si>
  <si>
    <t>Pompa elettrica 70 KW</t>
  </si>
  <si>
    <t>Pompa elettrica 80 KW</t>
  </si>
  <si>
    <t>Aspiratore 30 KW</t>
  </si>
  <si>
    <t>Aspiratore 40 KW</t>
  </si>
  <si>
    <t>Aspiratore 50 KW</t>
  </si>
  <si>
    <t>Data</t>
  </si>
  <si>
    <t>qtà</t>
  </si>
  <si>
    <t>Famiglia</t>
  </si>
  <si>
    <t>Aspiratori</t>
  </si>
  <si>
    <t>Compressori</t>
  </si>
  <si>
    <t>Pompe</t>
  </si>
  <si>
    <t>Trapani</t>
  </si>
  <si>
    <t>Famiglie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</si>
</sst>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L.&quot;\ * #,##0.00_-;\-&quot;L.&quot;\ * #,##0.00_-;_-&quot;L.&quot;\ * &quot;-&quot;??_-;_-@_-"/>
  </numFmts>
  <fonts count="3" x14ac:knownFonts="1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43" fontId="0" fillId="0" borderId="0" xfId="1" applyNumberFormat="1" applyFont="1"/>
    <xf numFmtId="2" fontId="0" fillId="0" borderId="0" xfId="1" applyNumberFormat="1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57E0-0313-44D3-A17F-EF329293DDAB}">
  <dimension ref="A1:M201"/>
  <sheetViews>
    <sheetView tabSelected="1" zoomScale="114" zoomScaleNormal="175" workbookViewId="0">
      <pane ySplit="1" topLeftCell="A2" activePane="bottomLeft" state="frozen"/>
      <selection pane="bottomLeft" activeCell="H15" sqref="H15"/>
    </sheetView>
  </sheetViews>
  <sheetFormatPr defaultRowHeight="12.6" x14ac:dyDescent="0.25"/>
  <cols>
    <col min="1" max="2" width="16.88671875" customWidth="1"/>
    <col min="3" max="3" width="11.88671875" customWidth="1"/>
    <col min="4" max="4" width="15.33203125" customWidth="1"/>
    <col min="5" max="6" width="13.6640625" customWidth="1"/>
    <col min="9" max="9" width="24.44140625" customWidth="1"/>
    <col min="10" max="10" width="14.5546875" customWidth="1"/>
    <col min="12" max="12" width="11.44140625" customWidth="1"/>
    <col min="13" max="13" width="5.6640625" customWidth="1"/>
  </cols>
  <sheetData>
    <row r="1" spans="1:13" x14ac:dyDescent="0.25">
      <c r="A1" s="3" t="s">
        <v>12</v>
      </c>
      <c r="B1" s="3" t="s">
        <v>31</v>
      </c>
      <c r="C1" s="3" t="s">
        <v>13</v>
      </c>
      <c r="D1" s="3" t="s">
        <v>14</v>
      </c>
      <c r="E1" s="3" t="s">
        <v>15</v>
      </c>
      <c r="F1" s="3" t="s">
        <v>29</v>
      </c>
      <c r="I1" s="5" t="s">
        <v>12</v>
      </c>
      <c r="J1" s="5" t="s">
        <v>31</v>
      </c>
      <c r="L1" s="8" t="s">
        <v>36</v>
      </c>
      <c r="M1" s="8" t="s">
        <v>30</v>
      </c>
    </row>
    <row r="2" spans="1:13" x14ac:dyDescent="0.25">
      <c r="A2" t="s">
        <v>21</v>
      </c>
      <c r="B2" t="str">
        <f>VLOOKUP(A2,$I$1:$J$26,2,FALSE)</f>
        <v>Compressori</v>
      </c>
      <c r="C2">
        <v>10</v>
      </c>
      <c r="D2" s="1">
        <v>42</v>
      </c>
      <c r="E2">
        <v>20</v>
      </c>
      <c r="F2" s="4">
        <v>43645</v>
      </c>
      <c r="I2" s="6" t="s">
        <v>7</v>
      </c>
      <c r="J2" s="6" t="s">
        <v>32</v>
      </c>
      <c r="L2" s="7" t="str" cm="1">
        <f t="array" ref="L2:L5">_xlfn.UNIQUE(J2:J26)</f>
        <v>Aspiratori</v>
      </c>
      <c r="M2" s="6">
        <f>SUMIF($B$2:$B$201,L2,$C$2:$C$201)</f>
        <v>1976</v>
      </c>
    </row>
    <row r="3" spans="1:13" x14ac:dyDescent="0.25">
      <c r="A3" t="s">
        <v>21</v>
      </c>
      <c r="B3" t="str">
        <f t="shared" ref="B3:B66" si="0">VLOOKUP(A3,$I$1:$J$26,2,FALSE)</f>
        <v>Compressori</v>
      </c>
      <c r="C3">
        <v>10</v>
      </c>
      <c r="D3" s="1">
        <v>42</v>
      </c>
      <c r="E3">
        <v>20</v>
      </c>
      <c r="F3" s="4">
        <v>43620</v>
      </c>
      <c r="I3" s="6" t="s">
        <v>8</v>
      </c>
      <c r="J3" s="6" t="s">
        <v>32</v>
      </c>
      <c r="L3" s="7" t="str">
        <v>Compressori</v>
      </c>
      <c r="M3" s="6">
        <f t="shared" ref="M3:M5" si="1">SUMIF($B$2:$B$201,L3,$C$2:$C$201)</f>
        <v>2536</v>
      </c>
    </row>
    <row r="4" spans="1:13" x14ac:dyDescent="0.25">
      <c r="A4" t="s">
        <v>21</v>
      </c>
      <c r="B4" t="str">
        <f t="shared" si="0"/>
        <v>Compressori</v>
      </c>
      <c r="C4">
        <v>10</v>
      </c>
      <c r="D4" s="1">
        <v>42</v>
      </c>
      <c r="E4">
        <v>20</v>
      </c>
      <c r="F4" s="4">
        <v>43595</v>
      </c>
      <c r="I4" s="6" t="s">
        <v>26</v>
      </c>
      <c r="J4" s="6" t="s">
        <v>32</v>
      </c>
      <c r="L4" s="7" t="str">
        <v>Pompe</v>
      </c>
      <c r="M4" s="6">
        <f t="shared" si="1"/>
        <v>3704</v>
      </c>
    </row>
    <row r="5" spans="1:13" x14ac:dyDescent="0.25">
      <c r="A5" t="s">
        <v>21</v>
      </c>
      <c r="B5" t="str">
        <f t="shared" si="0"/>
        <v>Compressori</v>
      </c>
      <c r="C5">
        <v>10</v>
      </c>
      <c r="D5" s="1">
        <v>42</v>
      </c>
      <c r="E5">
        <v>20</v>
      </c>
      <c r="F5" s="4">
        <v>43570</v>
      </c>
      <c r="I5" s="6" t="s">
        <v>27</v>
      </c>
      <c r="J5" s="6" t="s">
        <v>32</v>
      </c>
      <c r="L5" s="7" t="str">
        <v>Trapani</v>
      </c>
      <c r="M5" s="6">
        <f t="shared" si="1"/>
        <v>864</v>
      </c>
    </row>
    <row r="6" spans="1:13" x14ac:dyDescent="0.25">
      <c r="A6" t="s">
        <v>21</v>
      </c>
      <c r="B6" t="str">
        <f t="shared" si="0"/>
        <v>Compressori</v>
      </c>
      <c r="C6">
        <v>10</v>
      </c>
      <c r="D6" s="1">
        <v>42</v>
      </c>
      <c r="E6">
        <v>20</v>
      </c>
      <c r="F6" s="4">
        <v>43545</v>
      </c>
      <c r="I6" s="6" t="s">
        <v>28</v>
      </c>
      <c r="J6" s="6" t="s">
        <v>32</v>
      </c>
    </row>
    <row r="7" spans="1:13" x14ac:dyDescent="0.25">
      <c r="A7" t="s">
        <v>21</v>
      </c>
      <c r="B7" t="str">
        <f t="shared" si="0"/>
        <v>Compressori</v>
      </c>
      <c r="C7">
        <v>10</v>
      </c>
      <c r="D7" s="1">
        <v>42</v>
      </c>
      <c r="E7">
        <v>20</v>
      </c>
      <c r="F7" s="4">
        <v>43520</v>
      </c>
      <c r="I7" s="6" t="s">
        <v>18</v>
      </c>
      <c r="J7" s="6" t="s">
        <v>32</v>
      </c>
    </row>
    <row r="8" spans="1:13" x14ac:dyDescent="0.25">
      <c r="A8" t="s">
        <v>21</v>
      </c>
      <c r="B8" t="str">
        <f t="shared" si="0"/>
        <v>Compressori</v>
      </c>
      <c r="C8">
        <v>10</v>
      </c>
      <c r="D8" s="1">
        <v>42</v>
      </c>
      <c r="E8">
        <v>20</v>
      </c>
      <c r="F8" s="4">
        <v>43495</v>
      </c>
      <c r="I8" s="6" t="s">
        <v>20</v>
      </c>
      <c r="J8" s="6" t="s">
        <v>33</v>
      </c>
    </row>
    <row r="9" spans="1:13" x14ac:dyDescent="0.25">
      <c r="A9" t="s">
        <v>21</v>
      </c>
      <c r="B9" t="str">
        <f t="shared" si="0"/>
        <v>Compressori</v>
      </c>
      <c r="C9">
        <v>10</v>
      </c>
      <c r="D9" s="1">
        <v>42</v>
      </c>
      <c r="E9">
        <v>20</v>
      </c>
      <c r="F9" s="4">
        <v>43470</v>
      </c>
      <c r="I9" s="6" t="s">
        <v>19</v>
      </c>
      <c r="J9" s="6" t="s">
        <v>33</v>
      </c>
    </row>
    <row r="10" spans="1:13" x14ac:dyDescent="0.25">
      <c r="A10" t="s">
        <v>28</v>
      </c>
      <c r="B10" t="str">
        <f t="shared" si="0"/>
        <v>Aspiratori</v>
      </c>
      <c r="C10">
        <v>14</v>
      </c>
      <c r="D10" s="1">
        <v>70</v>
      </c>
      <c r="E10">
        <v>20</v>
      </c>
      <c r="F10" s="4">
        <v>43660</v>
      </c>
      <c r="I10" s="6" t="s">
        <v>1</v>
      </c>
      <c r="J10" s="6" t="s">
        <v>33</v>
      </c>
    </row>
    <row r="11" spans="1:13" x14ac:dyDescent="0.25">
      <c r="A11" t="s">
        <v>28</v>
      </c>
      <c r="B11" t="str">
        <f t="shared" si="0"/>
        <v>Aspiratori</v>
      </c>
      <c r="C11">
        <v>14</v>
      </c>
      <c r="D11" s="1">
        <v>70</v>
      </c>
      <c r="E11">
        <v>20</v>
      </c>
      <c r="F11" s="4">
        <v>43635</v>
      </c>
      <c r="I11" s="6" t="s">
        <v>21</v>
      </c>
      <c r="J11" s="6" t="s">
        <v>33</v>
      </c>
    </row>
    <row r="12" spans="1:13" x14ac:dyDescent="0.25">
      <c r="A12" t="s">
        <v>28</v>
      </c>
      <c r="B12" t="str">
        <f t="shared" si="0"/>
        <v>Aspiratori</v>
      </c>
      <c r="C12">
        <v>14</v>
      </c>
      <c r="D12" s="1">
        <v>70</v>
      </c>
      <c r="E12">
        <v>20</v>
      </c>
      <c r="F12" s="4">
        <v>43610</v>
      </c>
      <c r="I12" s="6" t="s">
        <v>0</v>
      </c>
      <c r="J12" s="6" t="s">
        <v>33</v>
      </c>
    </row>
    <row r="13" spans="1:13" x14ac:dyDescent="0.25">
      <c r="A13" t="s">
        <v>28</v>
      </c>
      <c r="B13" t="str">
        <f t="shared" si="0"/>
        <v>Aspiratori</v>
      </c>
      <c r="C13">
        <v>14</v>
      </c>
      <c r="D13" s="1">
        <v>70</v>
      </c>
      <c r="E13">
        <v>20</v>
      </c>
      <c r="F13" s="4">
        <v>43585</v>
      </c>
      <c r="I13" s="6" t="s">
        <v>16</v>
      </c>
      <c r="J13" s="6" t="s">
        <v>33</v>
      </c>
    </row>
    <row r="14" spans="1:13" x14ac:dyDescent="0.25">
      <c r="A14" t="s">
        <v>28</v>
      </c>
      <c r="B14" t="str">
        <f t="shared" si="0"/>
        <v>Aspiratori</v>
      </c>
      <c r="C14">
        <v>14</v>
      </c>
      <c r="D14" s="1">
        <v>70</v>
      </c>
      <c r="E14">
        <v>20</v>
      </c>
      <c r="F14" s="4">
        <v>43560</v>
      </c>
      <c r="I14" s="6" t="s">
        <v>2</v>
      </c>
      <c r="J14" s="6" t="s">
        <v>33</v>
      </c>
    </row>
    <row r="15" spans="1:13" x14ac:dyDescent="0.25">
      <c r="A15" t="s">
        <v>28</v>
      </c>
      <c r="B15" t="str">
        <f t="shared" si="0"/>
        <v>Aspiratori</v>
      </c>
      <c r="C15">
        <v>14</v>
      </c>
      <c r="D15" s="1">
        <v>70</v>
      </c>
      <c r="E15">
        <v>20</v>
      </c>
      <c r="F15" s="4">
        <v>43535</v>
      </c>
      <c r="I15" s="6" t="s">
        <v>3</v>
      </c>
      <c r="J15" s="6" t="s">
        <v>33</v>
      </c>
    </row>
    <row r="16" spans="1:13" x14ac:dyDescent="0.25">
      <c r="A16" t="s">
        <v>28</v>
      </c>
      <c r="B16" t="str">
        <f t="shared" si="0"/>
        <v>Aspiratori</v>
      </c>
      <c r="C16">
        <v>14</v>
      </c>
      <c r="D16" s="1">
        <v>70</v>
      </c>
      <c r="E16">
        <v>20</v>
      </c>
      <c r="F16" s="4">
        <v>43510</v>
      </c>
      <c r="I16" s="6" t="s">
        <v>4</v>
      </c>
      <c r="J16" s="6" t="s">
        <v>34</v>
      </c>
    </row>
    <row r="17" spans="1:10" x14ac:dyDescent="0.25">
      <c r="A17" t="s">
        <v>28</v>
      </c>
      <c r="B17" t="str">
        <f t="shared" si="0"/>
        <v>Aspiratori</v>
      </c>
      <c r="C17">
        <v>14</v>
      </c>
      <c r="D17" s="1">
        <v>70</v>
      </c>
      <c r="E17">
        <v>20</v>
      </c>
      <c r="F17" s="4">
        <v>43485</v>
      </c>
      <c r="I17" s="6" t="s">
        <v>5</v>
      </c>
      <c r="J17" s="6" t="s">
        <v>34</v>
      </c>
    </row>
    <row r="18" spans="1:10" x14ac:dyDescent="0.25">
      <c r="A18" t="s">
        <v>22</v>
      </c>
      <c r="B18" t="str">
        <f t="shared" si="0"/>
        <v>Pompe</v>
      </c>
      <c r="C18">
        <v>22</v>
      </c>
      <c r="D18" s="1">
        <v>85</v>
      </c>
      <c r="E18">
        <v>20</v>
      </c>
      <c r="F18" s="4">
        <v>43652</v>
      </c>
      <c r="I18" s="6" t="s">
        <v>6</v>
      </c>
      <c r="J18" s="6" t="s">
        <v>34</v>
      </c>
    </row>
    <row r="19" spans="1:10" x14ac:dyDescent="0.25">
      <c r="A19" t="s">
        <v>22</v>
      </c>
      <c r="B19" t="str">
        <f t="shared" si="0"/>
        <v>Pompe</v>
      </c>
      <c r="C19">
        <v>22</v>
      </c>
      <c r="D19" s="1">
        <v>85</v>
      </c>
      <c r="E19">
        <v>20</v>
      </c>
      <c r="F19" s="4">
        <v>43627</v>
      </c>
      <c r="I19" s="6" t="s">
        <v>22</v>
      </c>
      <c r="J19" s="6" t="s">
        <v>34</v>
      </c>
    </row>
    <row r="20" spans="1:10" x14ac:dyDescent="0.25">
      <c r="A20" t="s">
        <v>22</v>
      </c>
      <c r="B20" t="str">
        <f t="shared" si="0"/>
        <v>Pompe</v>
      </c>
      <c r="C20">
        <v>22</v>
      </c>
      <c r="D20" s="1">
        <v>85</v>
      </c>
      <c r="E20">
        <v>20</v>
      </c>
      <c r="F20" s="4">
        <v>43602</v>
      </c>
      <c r="I20" s="6" t="s">
        <v>23</v>
      </c>
      <c r="J20" s="6" t="s">
        <v>34</v>
      </c>
    </row>
    <row r="21" spans="1:10" x14ac:dyDescent="0.25">
      <c r="A21" t="s">
        <v>22</v>
      </c>
      <c r="B21" t="str">
        <f t="shared" si="0"/>
        <v>Pompe</v>
      </c>
      <c r="C21">
        <v>22</v>
      </c>
      <c r="D21" s="1">
        <v>85</v>
      </c>
      <c r="E21">
        <v>20</v>
      </c>
      <c r="F21" s="4">
        <v>43577</v>
      </c>
      <c r="I21" s="6" t="s">
        <v>24</v>
      </c>
      <c r="J21" s="6" t="s">
        <v>34</v>
      </c>
    </row>
    <row r="22" spans="1:10" x14ac:dyDescent="0.25">
      <c r="A22" t="s">
        <v>22</v>
      </c>
      <c r="B22" t="str">
        <f t="shared" si="0"/>
        <v>Pompe</v>
      </c>
      <c r="C22">
        <v>22</v>
      </c>
      <c r="D22" s="1">
        <v>85</v>
      </c>
      <c r="E22">
        <v>20</v>
      </c>
      <c r="F22" s="4">
        <v>43552</v>
      </c>
      <c r="I22" s="6" t="s">
        <v>25</v>
      </c>
      <c r="J22" s="6" t="s">
        <v>34</v>
      </c>
    </row>
    <row r="23" spans="1:10" x14ac:dyDescent="0.25">
      <c r="A23" t="s">
        <v>22</v>
      </c>
      <c r="B23" t="str">
        <f t="shared" si="0"/>
        <v>Pompe</v>
      </c>
      <c r="C23">
        <v>22</v>
      </c>
      <c r="D23" s="1">
        <v>85</v>
      </c>
      <c r="E23">
        <v>20</v>
      </c>
      <c r="F23" s="4">
        <v>43527</v>
      </c>
      <c r="I23" s="6" t="s">
        <v>17</v>
      </c>
      <c r="J23" s="6" t="s">
        <v>34</v>
      </c>
    </row>
    <row r="24" spans="1:10" x14ac:dyDescent="0.25">
      <c r="A24" t="s">
        <v>22</v>
      </c>
      <c r="B24" t="str">
        <f t="shared" si="0"/>
        <v>Pompe</v>
      </c>
      <c r="C24">
        <v>22</v>
      </c>
      <c r="D24" s="1">
        <v>85</v>
      </c>
      <c r="E24">
        <v>20</v>
      </c>
      <c r="F24" s="4">
        <v>43502</v>
      </c>
      <c r="I24" s="6" t="s">
        <v>9</v>
      </c>
      <c r="J24" s="6" t="s">
        <v>34</v>
      </c>
    </row>
    <row r="25" spans="1:10" x14ac:dyDescent="0.25">
      <c r="A25" t="s">
        <v>22</v>
      </c>
      <c r="B25" t="str">
        <f t="shared" si="0"/>
        <v>Pompe</v>
      </c>
      <c r="C25">
        <v>22</v>
      </c>
      <c r="D25" s="1">
        <v>85</v>
      </c>
      <c r="E25">
        <v>20</v>
      </c>
      <c r="F25" s="4">
        <v>43477</v>
      </c>
      <c r="I25" s="6" t="s">
        <v>10</v>
      </c>
      <c r="J25" s="6" t="s">
        <v>35</v>
      </c>
    </row>
    <row r="26" spans="1:10" x14ac:dyDescent="0.25">
      <c r="A26" t="s">
        <v>5</v>
      </c>
      <c r="B26" t="str">
        <f t="shared" si="0"/>
        <v>Pompe</v>
      </c>
      <c r="C26">
        <v>26</v>
      </c>
      <c r="D26" s="1">
        <v>65</v>
      </c>
      <c r="E26">
        <v>80</v>
      </c>
      <c r="F26" s="4">
        <v>43650</v>
      </c>
      <c r="I26" s="6" t="s">
        <v>11</v>
      </c>
      <c r="J26" s="6" t="s">
        <v>35</v>
      </c>
    </row>
    <row r="27" spans="1:10" x14ac:dyDescent="0.25">
      <c r="A27" t="s">
        <v>5</v>
      </c>
      <c r="B27" t="str">
        <f t="shared" si="0"/>
        <v>Pompe</v>
      </c>
      <c r="C27">
        <v>26</v>
      </c>
      <c r="D27" s="1">
        <v>65</v>
      </c>
      <c r="E27">
        <v>80</v>
      </c>
      <c r="F27" s="4">
        <v>43625</v>
      </c>
    </row>
    <row r="28" spans="1:10" x14ac:dyDescent="0.25">
      <c r="A28" t="s">
        <v>5</v>
      </c>
      <c r="B28" t="str">
        <f t="shared" si="0"/>
        <v>Pompe</v>
      </c>
      <c r="C28">
        <v>26</v>
      </c>
      <c r="D28" s="1">
        <v>65</v>
      </c>
      <c r="E28">
        <v>80</v>
      </c>
      <c r="F28" s="4">
        <v>43600</v>
      </c>
    </row>
    <row r="29" spans="1:10" x14ac:dyDescent="0.25">
      <c r="A29" t="s">
        <v>5</v>
      </c>
      <c r="B29" t="str">
        <f t="shared" si="0"/>
        <v>Pompe</v>
      </c>
      <c r="C29">
        <v>26</v>
      </c>
      <c r="D29" s="1">
        <v>65</v>
      </c>
      <c r="E29">
        <v>80</v>
      </c>
      <c r="F29" s="4">
        <v>43575</v>
      </c>
    </row>
    <row r="30" spans="1:10" x14ac:dyDescent="0.25">
      <c r="A30" t="s">
        <v>5</v>
      </c>
      <c r="B30" t="str">
        <f t="shared" si="0"/>
        <v>Pompe</v>
      </c>
      <c r="C30">
        <v>26</v>
      </c>
      <c r="D30" s="1">
        <v>65</v>
      </c>
      <c r="E30">
        <v>80</v>
      </c>
      <c r="F30" s="4">
        <v>43550</v>
      </c>
    </row>
    <row r="31" spans="1:10" x14ac:dyDescent="0.25">
      <c r="A31" t="s">
        <v>5</v>
      </c>
      <c r="B31" t="str">
        <f t="shared" si="0"/>
        <v>Pompe</v>
      </c>
      <c r="C31">
        <v>26</v>
      </c>
      <c r="D31" s="1">
        <v>65</v>
      </c>
      <c r="E31">
        <v>80</v>
      </c>
      <c r="F31" s="4">
        <v>43525</v>
      </c>
    </row>
    <row r="32" spans="1:10" x14ac:dyDescent="0.25">
      <c r="A32" t="s">
        <v>5</v>
      </c>
      <c r="B32" t="str">
        <f t="shared" si="0"/>
        <v>Pompe</v>
      </c>
      <c r="C32">
        <v>26</v>
      </c>
      <c r="D32" s="1">
        <v>65</v>
      </c>
      <c r="E32">
        <v>80</v>
      </c>
      <c r="F32" s="4">
        <v>43500</v>
      </c>
    </row>
    <row r="33" spans="1:6" x14ac:dyDescent="0.25">
      <c r="A33" t="s">
        <v>5</v>
      </c>
      <c r="B33" t="str">
        <f t="shared" si="0"/>
        <v>Pompe</v>
      </c>
      <c r="C33">
        <v>26</v>
      </c>
      <c r="D33" s="1">
        <v>65</v>
      </c>
      <c r="E33">
        <v>80</v>
      </c>
      <c r="F33" s="4">
        <v>43475</v>
      </c>
    </row>
    <row r="34" spans="1:6" x14ac:dyDescent="0.25">
      <c r="A34" t="s">
        <v>23</v>
      </c>
      <c r="B34" t="str">
        <f t="shared" si="0"/>
        <v>Pompe</v>
      </c>
      <c r="C34">
        <v>28</v>
      </c>
      <c r="D34" s="1">
        <v>95</v>
      </c>
      <c r="E34">
        <v>20</v>
      </c>
      <c r="F34" s="4">
        <v>43653</v>
      </c>
    </row>
    <row r="35" spans="1:6" x14ac:dyDescent="0.25">
      <c r="A35" t="s">
        <v>23</v>
      </c>
      <c r="B35" t="str">
        <f t="shared" si="0"/>
        <v>Pompe</v>
      </c>
      <c r="C35">
        <v>28</v>
      </c>
      <c r="D35" s="1">
        <v>95</v>
      </c>
      <c r="E35">
        <v>20</v>
      </c>
      <c r="F35" s="4">
        <v>43628</v>
      </c>
    </row>
    <row r="36" spans="1:6" x14ac:dyDescent="0.25">
      <c r="A36" t="s">
        <v>23</v>
      </c>
      <c r="B36" t="str">
        <f t="shared" si="0"/>
        <v>Pompe</v>
      </c>
      <c r="C36">
        <v>28</v>
      </c>
      <c r="D36" s="1">
        <v>95</v>
      </c>
      <c r="E36">
        <v>20</v>
      </c>
      <c r="F36" s="4">
        <v>43603</v>
      </c>
    </row>
    <row r="37" spans="1:6" x14ac:dyDescent="0.25">
      <c r="A37" t="s">
        <v>23</v>
      </c>
      <c r="B37" t="str">
        <f t="shared" si="0"/>
        <v>Pompe</v>
      </c>
      <c r="C37">
        <v>28</v>
      </c>
      <c r="D37" s="1">
        <v>95</v>
      </c>
      <c r="E37">
        <v>20</v>
      </c>
      <c r="F37" s="4">
        <v>43578</v>
      </c>
    </row>
    <row r="38" spans="1:6" x14ac:dyDescent="0.25">
      <c r="A38" t="s">
        <v>23</v>
      </c>
      <c r="B38" t="str">
        <f t="shared" si="0"/>
        <v>Pompe</v>
      </c>
      <c r="C38">
        <v>28</v>
      </c>
      <c r="D38" s="1">
        <v>95</v>
      </c>
      <c r="E38">
        <v>20</v>
      </c>
      <c r="F38" s="4">
        <v>43553</v>
      </c>
    </row>
    <row r="39" spans="1:6" x14ac:dyDescent="0.25">
      <c r="A39" t="s">
        <v>23</v>
      </c>
      <c r="B39" t="str">
        <f t="shared" si="0"/>
        <v>Pompe</v>
      </c>
      <c r="C39">
        <v>28</v>
      </c>
      <c r="D39" s="1">
        <v>95</v>
      </c>
      <c r="E39">
        <v>20</v>
      </c>
      <c r="F39" s="4">
        <v>43528</v>
      </c>
    </row>
    <row r="40" spans="1:6" x14ac:dyDescent="0.25">
      <c r="A40" t="s">
        <v>23</v>
      </c>
      <c r="B40" t="str">
        <f t="shared" si="0"/>
        <v>Pompe</v>
      </c>
      <c r="C40">
        <v>28</v>
      </c>
      <c r="D40" s="1">
        <v>95</v>
      </c>
      <c r="E40">
        <v>20</v>
      </c>
      <c r="F40" s="4">
        <v>43503</v>
      </c>
    </row>
    <row r="41" spans="1:6" x14ac:dyDescent="0.25">
      <c r="A41" t="s">
        <v>23</v>
      </c>
      <c r="B41" t="str">
        <f t="shared" si="0"/>
        <v>Pompe</v>
      </c>
      <c r="C41">
        <v>28</v>
      </c>
      <c r="D41" s="1">
        <v>95</v>
      </c>
      <c r="E41">
        <v>20</v>
      </c>
      <c r="F41" s="4">
        <v>43478</v>
      </c>
    </row>
    <row r="42" spans="1:6" x14ac:dyDescent="0.25">
      <c r="A42" t="s">
        <v>20</v>
      </c>
      <c r="B42" t="str">
        <f t="shared" si="0"/>
        <v>Compressori</v>
      </c>
      <c r="C42">
        <v>28</v>
      </c>
      <c r="D42" s="1">
        <v>48</v>
      </c>
      <c r="E42">
        <v>30</v>
      </c>
      <c r="F42" s="4">
        <v>43644</v>
      </c>
    </row>
    <row r="43" spans="1:6" x14ac:dyDescent="0.25">
      <c r="A43" t="s">
        <v>20</v>
      </c>
      <c r="B43" t="str">
        <f t="shared" si="0"/>
        <v>Compressori</v>
      </c>
      <c r="C43">
        <v>28</v>
      </c>
      <c r="D43" s="1">
        <v>48</v>
      </c>
      <c r="E43">
        <v>30</v>
      </c>
      <c r="F43" s="4">
        <v>43619</v>
      </c>
    </row>
    <row r="44" spans="1:6" x14ac:dyDescent="0.25">
      <c r="A44" t="s">
        <v>20</v>
      </c>
      <c r="B44" t="str">
        <f t="shared" si="0"/>
        <v>Compressori</v>
      </c>
      <c r="C44">
        <v>28</v>
      </c>
      <c r="D44" s="1">
        <v>48</v>
      </c>
      <c r="E44">
        <v>30</v>
      </c>
      <c r="F44" s="4">
        <v>43594</v>
      </c>
    </row>
    <row r="45" spans="1:6" x14ac:dyDescent="0.25">
      <c r="A45" t="s">
        <v>20</v>
      </c>
      <c r="B45" t="str">
        <f t="shared" si="0"/>
        <v>Compressori</v>
      </c>
      <c r="C45">
        <v>28</v>
      </c>
      <c r="D45" s="1">
        <v>48</v>
      </c>
      <c r="E45">
        <v>30</v>
      </c>
      <c r="F45" s="4">
        <v>43569</v>
      </c>
    </row>
    <row r="46" spans="1:6" x14ac:dyDescent="0.25">
      <c r="A46" t="s">
        <v>20</v>
      </c>
      <c r="B46" t="str">
        <f t="shared" si="0"/>
        <v>Compressori</v>
      </c>
      <c r="C46">
        <v>28</v>
      </c>
      <c r="D46" s="1">
        <v>48</v>
      </c>
      <c r="E46">
        <v>30</v>
      </c>
      <c r="F46" s="4">
        <v>43544</v>
      </c>
    </row>
    <row r="47" spans="1:6" x14ac:dyDescent="0.25">
      <c r="A47" t="s">
        <v>20</v>
      </c>
      <c r="B47" t="str">
        <f t="shared" si="0"/>
        <v>Compressori</v>
      </c>
      <c r="C47">
        <v>28</v>
      </c>
      <c r="D47" s="1">
        <v>48</v>
      </c>
      <c r="E47">
        <v>30</v>
      </c>
      <c r="F47" s="4">
        <v>43519</v>
      </c>
    </row>
    <row r="48" spans="1:6" x14ac:dyDescent="0.25">
      <c r="A48" t="s">
        <v>20</v>
      </c>
      <c r="B48" t="str">
        <f t="shared" si="0"/>
        <v>Compressori</v>
      </c>
      <c r="C48">
        <v>28</v>
      </c>
      <c r="D48" s="1">
        <v>48</v>
      </c>
      <c r="E48">
        <v>30</v>
      </c>
      <c r="F48" s="4">
        <v>43494</v>
      </c>
    </row>
    <row r="49" spans="1:6" x14ac:dyDescent="0.25">
      <c r="A49" t="s">
        <v>20</v>
      </c>
      <c r="B49" t="str">
        <f t="shared" si="0"/>
        <v>Compressori</v>
      </c>
      <c r="C49">
        <v>28</v>
      </c>
      <c r="D49" s="1">
        <v>48</v>
      </c>
      <c r="E49">
        <v>30</v>
      </c>
      <c r="F49" s="4">
        <v>43469</v>
      </c>
    </row>
    <row r="50" spans="1:6" x14ac:dyDescent="0.25">
      <c r="A50" t="s">
        <v>0</v>
      </c>
      <c r="B50" t="str">
        <f t="shared" si="0"/>
        <v>Compressori</v>
      </c>
      <c r="C50">
        <v>32</v>
      </c>
      <c r="D50" s="1">
        <v>75</v>
      </c>
      <c r="E50">
        <v>40</v>
      </c>
      <c r="F50" s="4">
        <v>43641</v>
      </c>
    </row>
    <row r="51" spans="1:6" x14ac:dyDescent="0.25">
      <c r="A51" t="s">
        <v>0</v>
      </c>
      <c r="B51" t="str">
        <f t="shared" si="0"/>
        <v>Compressori</v>
      </c>
      <c r="C51">
        <v>32</v>
      </c>
      <c r="D51" s="1">
        <v>75</v>
      </c>
      <c r="E51">
        <v>40</v>
      </c>
      <c r="F51" s="4">
        <v>43616</v>
      </c>
    </row>
    <row r="52" spans="1:6" x14ac:dyDescent="0.25">
      <c r="A52" t="s">
        <v>0</v>
      </c>
      <c r="B52" t="str">
        <f t="shared" si="0"/>
        <v>Compressori</v>
      </c>
      <c r="C52">
        <v>32</v>
      </c>
      <c r="D52" s="1">
        <v>75</v>
      </c>
      <c r="E52">
        <v>40</v>
      </c>
      <c r="F52" s="4">
        <v>43591</v>
      </c>
    </row>
    <row r="53" spans="1:6" x14ac:dyDescent="0.25">
      <c r="A53" t="s">
        <v>0</v>
      </c>
      <c r="B53" t="str">
        <f t="shared" si="0"/>
        <v>Compressori</v>
      </c>
      <c r="C53">
        <v>32</v>
      </c>
      <c r="D53" s="1">
        <v>75</v>
      </c>
      <c r="E53">
        <v>40</v>
      </c>
      <c r="F53" s="4">
        <v>43566</v>
      </c>
    </row>
    <row r="54" spans="1:6" x14ac:dyDescent="0.25">
      <c r="A54" t="s">
        <v>0</v>
      </c>
      <c r="B54" t="str">
        <f t="shared" si="0"/>
        <v>Compressori</v>
      </c>
      <c r="C54">
        <v>32</v>
      </c>
      <c r="D54" s="1">
        <v>75</v>
      </c>
      <c r="E54">
        <v>40</v>
      </c>
      <c r="F54" s="4">
        <v>43541</v>
      </c>
    </row>
    <row r="55" spans="1:6" x14ac:dyDescent="0.25">
      <c r="A55" t="s">
        <v>0</v>
      </c>
      <c r="B55" t="str">
        <f t="shared" si="0"/>
        <v>Compressori</v>
      </c>
      <c r="C55">
        <v>32</v>
      </c>
      <c r="D55" s="1">
        <v>75</v>
      </c>
      <c r="E55">
        <v>40</v>
      </c>
      <c r="F55" s="4">
        <v>43516</v>
      </c>
    </row>
    <row r="56" spans="1:6" x14ac:dyDescent="0.25">
      <c r="A56" t="s">
        <v>0</v>
      </c>
      <c r="B56" t="str">
        <f t="shared" si="0"/>
        <v>Compressori</v>
      </c>
      <c r="C56">
        <v>32</v>
      </c>
      <c r="D56" s="1">
        <v>75</v>
      </c>
      <c r="E56">
        <v>40</v>
      </c>
      <c r="F56" s="4">
        <v>43491</v>
      </c>
    </row>
    <row r="57" spans="1:6" x14ac:dyDescent="0.25">
      <c r="A57" t="s">
        <v>0</v>
      </c>
      <c r="B57" t="str">
        <f t="shared" si="0"/>
        <v>Compressori</v>
      </c>
      <c r="C57">
        <v>32</v>
      </c>
      <c r="D57" s="2">
        <v>75</v>
      </c>
      <c r="E57">
        <v>40</v>
      </c>
      <c r="F57" s="4">
        <v>43466</v>
      </c>
    </row>
    <row r="58" spans="1:6" x14ac:dyDescent="0.25">
      <c r="A58" t="s">
        <v>19</v>
      </c>
      <c r="B58" t="str">
        <f t="shared" si="0"/>
        <v>Compressori</v>
      </c>
      <c r="C58">
        <v>32</v>
      </c>
      <c r="D58" s="1">
        <v>53</v>
      </c>
      <c r="E58">
        <v>30</v>
      </c>
      <c r="F58" s="4">
        <v>43643</v>
      </c>
    </row>
    <row r="59" spans="1:6" x14ac:dyDescent="0.25">
      <c r="A59" t="s">
        <v>19</v>
      </c>
      <c r="B59" t="str">
        <f t="shared" si="0"/>
        <v>Compressori</v>
      </c>
      <c r="C59">
        <v>32</v>
      </c>
      <c r="D59" s="1">
        <v>53</v>
      </c>
      <c r="E59">
        <v>30</v>
      </c>
      <c r="F59" s="4">
        <v>43618</v>
      </c>
    </row>
    <row r="60" spans="1:6" x14ac:dyDescent="0.25">
      <c r="A60" t="s">
        <v>19</v>
      </c>
      <c r="B60" t="str">
        <f t="shared" si="0"/>
        <v>Compressori</v>
      </c>
      <c r="C60">
        <v>32</v>
      </c>
      <c r="D60" s="1">
        <v>53</v>
      </c>
      <c r="E60">
        <v>30</v>
      </c>
      <c r="F60" s="4">
        <v>43593</v>
      </c>
    </row>
    <row r="61" spans="1:6" x14ac:dyDescent="0.25">
      <c r="A61" t="s">
        <v>19</v>
      </c>
      <c r="B61" t="str">
        <f t="shared" si="0"/>
        <v>Compressori</v>
      </c>
      <c r="C61">
        <v>32</v>
      </c>
      <c r="D61" s="1">
        <v>53</v>
      </c>
      <c r="E61">
        <v>30</v>
      </c>
      <c r="F61" s="4">
        <v>43568</v>
      </c>
    </row>
    <row r="62" spans="1:6" x14ac:dyDescent="0.25">
      <c r="A62" t="s">
        <v>19</v>
      </c>
      <c r="B62" t="str">
        <f t="shared" si="0"/>
        <v>Compressori</v>
      </c>
      <c r="C62">
        <v>32</v>
      </c>
      <c r="D62" s="1">
        <v>53</v>
      </c>
      <c r="E62">
        <v>30</v>
      </c>
      <c r="F62" s="4">
        <v>43543</v>
      </c>
    </row>
    <row r="63" spans="1:6" x14ac:dyDescent="0.25">
      <c r="A63" t="s">
        <v>19</v>
      </c>
      <c r="B63" t="str">
        <f t="shared" si="0"/>
        <v>Compressori</v>
      </c>
      <c r="C63">
        <v>32</v>
      </c>
      <c r="D63" s="1">
        <v>53</v>
      </c>
      <c r="E63">
        <v>30</v>
      </c>
      <c r="F63" s="4">
        <v>43518</v>
      </c>
    </row>
    <row r="64" spans="1:6" x14ac:dyDescent="0.25">
      <c r="A64" t="s">
        <v>19</v>
      </c>
      <c r="B64" t="str">
        <f t="shared" si="0"/>
        <v>Compressori</v>
      </c>
      <c r="C64">
        <v>32</v>
      </c>
      <c r="D64" s="1">
        <v>53</v>
      </c>
      <c r="E64">
        <v>30</v>
      </c>
      <c r="F64" s="4">
        <v>43493</v>
      </c>
    </row>
    <row r="65" spans="1:6" x14ac:dyDescent="0.25">
      <c r="A65" t="s">
        <v>19</v>
      </c>
      <c r="B65" t="str">
        <f t="shared" si="0"/>
        <v>Compressori</v>
      </c>
      <c r="C65">
        <v>32</v>
      </c>
      <c r="D65" s="1">
        <v>53</v>
      </c>
      <c r="E65">
        <v>30</v>
      </c>
      <c r="F65" s="4">
        <v>43468</v>
      </c>
    </row>
    <row r="66" spans="1:6" x14ac:dyDescent="0.25">
      <c r="A66" t="s">
        <v>27</v>
      </c>
      <c r="B66" t="str">
        <f t="shared" si="0"/>
        <v>Aspiratori</v>
      </c>
      <c r="C66">
        <v>35</v>
      </c>
      <c r="D66" s="1">
        <v>60</v>
      </c>
      <c r="E66">
        <v>30</v>
      </c>
      <c r="F66" s="4">
        <v>43659</v>
      </c>
    </row>
    <row r="67" spans="1:6" x14ac:dyDescent="0.25">
      <c r="A67" t="s">
        <v>27</v>
      </c>
      <c r="B67" t="str">
        <f t="shared" ref="B67:B130" si="2">VLOOKUP(A67,$I$1:$J$26,2,FALSE)</f>
        <v>Aspiratori</v>
      </c>
      <c r="C67">
        <v>35</v>
      </c>
      <c r="D67" s="1">
        <v>60</v>
      </c>
      <c r="E67">
        <v>30</v>
      </c>
      <c r="F67" s="4">
        <v>43634</v>
      </c>
    </row>
    <row r="68" spans="1:6" x14ac:dyDescent="0.25">
      <c r="A68" t="s">
        <v>27</v>
      </c>
      <c r="B68" t="str">
        <f t="shared" si="2"/>
        <v>Aspiratori</v>
      </c>
      <c r="C68">
        <v>35</v>
      </c>
      <c r="D68" s="1">
        <v>60</v>
      </c>
      <c r="E68">
        <v>30</v>
      </c>
      <c r="F68" s="4">
        <v>43609</v>
      </c>
    </row>
    <row r="69" spans="1:6" x14ac:dyDescent="0.25">
      <c r="A69" t="s">
        <v>27</v>
      </c>
      <c r="B69" t="str">
        <f t="shared" si="2"/>
        <v>Aspiratori</v>
      </c>
      <c r="C69">
        <v>35</v>
      </c>
      <c r="D69" s="1">
        <v>60</v>
      </c>
      <c r="E69">
        <v>30</v>
      </c>
      <c r="F69" s="4">
        <v>43584</v>
      </c>
    </row>
    <row r="70" spans="1:6" x14ac:dyDescent="0.25">
      <c r="A70" t="s">
        <v>27</v>
      </c>
      <c r="B70" t="str">
        <f t="shared" si="2"/>
        <v>Aspiratori</v>
      </c>
      <c r="C70">
        <v>35</v>
      </c>
      <c r="D70" s="1">
        <v>60</v>
      </c>
      <c r="E70">
        <v>30</v>
      </c>
      <c r="F70" s="4">
        <v>43559</v>
      </c>
    </row>
    <row r="71" spans="1:6" x14ac:dyDescent="0.25">
      <c r="A71" t="s">
        <v>27</v>
      </c>
      <c r="B71" t="str">
        <f t="shared" si="2"/>
        <v>Aspiratori</v>
      </c>
      <c r="C71">
        <v>35</v>
      </c>
      <c r="D71" s="1">
        <v>60</v>
      </c>
      <c r="E71">
        <v>30</v>
      </c>
      <c r="F71" s="4">
        <v>43534</v>
      </c>
    </row>
    <row r="72" spans="1:6" x14ac:dyDescent="0.25">
      <c r="A72" t="s">
        <v>27</v>
      </c>
      <c r="B72" t="str">
        <f t="shared" si="2"/>
        <v>Aspiratori</v>
      </c>
      <c r="C72">
        <v>35</v>
      </c>
      <c r="D72" s="1">
        <v>60</v>
      </c>
      <c r="E72">
        <v>30</v>
      </c>
      <c r="F72" s="4">
        <v>43509</v>
      </c>
    </row>
    <row r="73" spans="1:6" x14ac:dyDescent="0.25">
      <c r="A73" t="s">
        <v>27</v>
      </c>
      <c r="B73" t="str">
        <f t="shared" si="2"/>
        <v>Aspiratori</v>
      </c>
      <c r="C73">
        <v>35</v>
      </c>
      <c r="D73" s="1">
        <v>60</v>
      </c>
      <c r="E73">
        <v>30</v>
      </c>
      <c r="F73" s="4">
        <v>43484</v>
      </c>
    </row>
    <row r="74" spans="1:6" x14ac:dyDescent="0.25">
      <c r="A74" t="s">
        <v>24</v>
      </c>
      <c r="B74" t="str">
        <f t="shared" si="2"/>
        <v>Pompe</v>
      </c>
      <c r="C74">
        <v>37</v>
      </c>
      <c r="D74" s="1">
        <v>105</v>
      </c>
      <c r="E74">
        <v>20</v>
      </c>
      <c r="F74" s="4">
        <v>43654</v>
      </c>
    </row>
    <row r="75" spans="1:6" x14ac:dyDescent="0.25">
      <c r="A75" t="s">
        <v>24</v>
      </c>
      <c r="B75" t="str">
        <f t="shared" si="2"/>
        <v>Pompe</v>
      </c>
      <c r="C75">
        <v>37</v>
      </c>
      <c r="D75" s="1">
        <v>105</v>
      </c>
      <c r="E75">
        <v>20</v>
      </c>
      <c r="F75" s="4">
        <v>43629</v>
      </c>
    </row>
    <row r="76" spans="1:6" x14ac:dyDescent="0.25">
      <c r="A76" t="s">
        <v>24</v>
      </c>
      <c r="B76" t="str">
        <f t="shared" si="2"/>
        <v>Pompe</v>
      </c>
      <c r="C76">
        <v>37</v>
      </c>
      <c r="D76" s="1">
        <v>105</v>
      </c>
      <c r="E76">
        <v>20</v>
      </c>
      <c r="F76" s="4">
        <v>43604</v>
      </c>
    </row>
    <row r="77" spans="1:6" x14ac:dyDescent="0.25">
      <c r="A77" t="s">
        <v>24</v>
      </c>
      <c r="B77" t="str">
        <f t="shared" si="2"/>
        <v>Pompe</v>
      </c>
      <c r="C77">
        <v>37</v>
      </c>
      <c r="D77" s="1">
        <v>105</v>
      </c>
      <c r="E77">
        <v>20</v>
      </c>
      <c r="F77" s="4">
        <v>43579</v>
      </c>
    </row>
    <row r="78" spans="1:6" x14ac:dyDescent="0.25">
      <c r="A78" t="s">
        <v>24</v>
      </c>
      <c r="B78" t="str">
        <f t="shared" si="2"/>
        <v>Pompe</v>
      </c>
      <c r="C78">
        <v>37</v>
      </c>
      <c r="D78" s="1">
        <v>105</v>
      </c>
      <c r="E78">
        <v>20</v>
      </c>
      <c r="F78" s="4">
        <v>43554</v>
      </c>
    </row>
    <row r="79" spans="1:6" x14ac:dyDescent="0.25">
      <c r="A79" t="s">
        <v>24</v>
      </c>
      <c r="B79" t="str">
        <f t="shared" si="2"/>
        <v>Pompe</v>
      </c>
      <c r="C79">
        <v>37</v>
      </c>
      <c r="D79" s="1">
        <v>105</v>
      </c>
      <c r="E79">
        <v>20</v>
      </c>
      <c r="F79" s="4">
        <v>43529</v>
      </c>
    </row>
    <row r="80" spans="1:6" x14ac:dyDescent="0.25">
      <c r="A80" t="s">
        <v>24</v>
      </c>
      <c r="B80" t="str">
        <f t="shared" si="2"/>
        <v>Pompe</v>
      </c>
      <c r="C80">
        <v>37</v>
      </c>
      <c r="D80" s="1">
        <v>105</v>
      </c>
      <c r="E80">
        <v>20</v>
      </c>
      <c r="F80" s="4">
        <v>43504</v>
      </c>
    </row>
    <row r="81" spans="1:6" x14ac:dyDescent="0.25">
      <c r="A81" t="s">
        <v>24</v>
      </c>
      <c r="B81" t="str">
        <f t="shared" si="2"/>
        <v>Pompe</v>
      </c>
      <c r="C81">
        <v>37</v>
      </c>
      <c r="D81" s="1">
        <v>105</v>
      </c>
      <c r="E81">
        <v>20</v>
      </c>
      <c r="F81" s="4">
        <v>43479</v>
      </c>
    </row>
    <row r="82" spans="1:6" x14ac:dyDescent="0.25">
      <c r="A82" t="s">
        <v>6</v>
      </c>
      <c r="B82" t="str">
        <f t="shared" si="2"/>
        <v>Pompe</v>
      </c>
      <c r="C82">
        <v>38</v>
      </c>
      <c r="D82" s="1">
        <v>75</v>
      </c>
      <c r="E82">
        <v>30</v>
      </c>
      <c r="F82" s="4">
        <v>43651</v>
      </c>
    </row>
    <row r="83" spans="1:6" x14ac:dyDescent="0.25">
      <c r="A83" t="s">
        <v>6</v>
      </c>
      <c r="B83" t="str">
        <f t="shared" si="2"/>
        <v>Pompe</v>
      </c>
      <c r="C83">
        <v>38</v>
      </c>
      <c r="D83" s="1">
        <v>75</v>
      </c>
      <c r="E83">
        <v>30</v>
      </c>
      <c r="F83" s="4">
        <v>43626</v>
      </c>
    </row>
    <row r="84" spans="1:6" x14ac:dyDescent="0.25">
      <c r="A84" t="s">
        <v>6</v>
      </c>
      <c r="B84" t="str">
        <f t="shared" si="2"/>
        <v>Pompe</v>
      </c>
      <c r="C84">
        <v>38</v>
      </c>
      <c r="D84" s="1">
        <v>75</v>
      </c>
      <c r="E84">
        <v>30</v>
      </c>
      <c r="F84" s="4">
        <v>43601</v>
      </c>
    </row>
    <row r="85" spans="1:6" x14ac:dyDescent="0.25">
      <c r="A85" t="s">
        <v>6</v>
      </c>
      <c r="B85" t="str">
        <f t="shared" si="2"/>
        <v>Pompe</v>
      </c>
      <c r="C85">
        <v>38</v>
      </c>
      <c r="D85" s="1">
        <v>75</v>
      </c>
      <c r="E85">
        <v>30</v>
      </c>
      <c r="F85" s="4">
        <v>43576</v>
      </c>
    </row>
    <row r="86" spans="1:6" x14ac:dyDescent="0.25">
      <c r="A86" t="s">
        <v>6</v>
      </c>
      <c r="B86" t="str">
        <f t="shared" si="2"/>
        <v>Pompe</v>
      </c>
      <c r="C86">
        <v>38</v>
      </c>
      <c r="D86" s="1">
        <v>75</v>
      </c>
      <c r="E86">
        <v>30</v>
      </c>
      <c r="F86" s="4">
        <v>43551</v>
      </c>
    </row>
    <row r="87" spans="1:6" x14ac:dyDescent="0.25">
      <c r="A87" t="s">
        <v>6</v>
      </c>
      <c r="B87" t="str">
        <f t="shared" si="2"/>
        <v>Pompe</v>
      </c>
      <c r="C87">
        <v>38</v>
      </c>
      <c r="D87" s="1">
        <v>75</v>
      </c>
      <c r="E87">
        <v>30</v>
      </c>
      <c r="F87" s="4">
        <v>43526</v>
      </c>
    </row>
    <row r="88" spans="1:6" x14ac:dyDescent="0.25">
      <c r="A88" t="s">
        <v>6</v>
      </c>
      <c r="B88" t="str">
        <f t="shared" si="2"/>
        <v>Pompe</v>
      </c>
      <c r="C88">
        <v>38</v>
      </c>
      <c r="D88" s="1">
        <v>75</v>
      </c>
      <c r="E88">
        <v>30</v>
      </c>
      <c r="F88" s="4">
        <v>43501</v>
      </c>
    </row>
    <row r="89" spans="1:6" x14ac:dyDescent="0.25">
      <c r="A89" t="s">
        <v>6</v>
      </c>
      <c r="B89" t="str">
        <f t="shared" si="2"/>
        <v>Pompe</v>
      </c>
      <c r="C89">
        <v>38</v>
      </c>
      <c r="D89" s="1">
        <v>75</v>
      </c>
      <c r="E89">
        <v>30</v>
      </c>
      <c r="F89" s="4">
        <v>43476</v>
      </c>
    </row>
    <row r="90" spans="1:6" x14ac:dyDescent="0.25">
      <c r="A90" t="s">
        <v>17</v>
      </c>
      <c r="B90" t="str">
        <f t="shared" si="2"/>
        <v>Pompe</v>
      </c>
      <c r="C90">
        <v>38</v>
      </c>
      <c r="D90" s="1">
        <v>55</v>
      </c>
      <c r="E90">
        <v>30</v>
      </c>
      <c r="F90" s="4">
        <v>43665</v>
      </c>
    </row>
    <row r="91" spans="1:6" x14ac:dyDescent="0.25">
      <c r="A91" t="s">
        <v>17</v>
      </c>
      <c r="B91" t="str">
        <f t="shared" si="2"/>
        <v>Pompe</v>
      </c>
      <c r="C91">
        <v>38</v>
      </c>
      <c r="D91" s="1">
        <v>55</v>
      </c>
      <c r="E91">
        <v>30</v>
      </c>
      <c r="F91" s="4">
        <v>43640</v>
      </c>
    </row>
    <row r="92" spans="1:6" x14ac:dyDescent="0.25">
      <c r="A92" t="s">
        <v>17</v>
      </c>
      <c r="B92" t="str">
        <f t="shared" si="2"/>
        <v>Pompe</v>
      </c>
      <c r="C92">
        <v>38</v>
      </c>
      <c r="D92" s="1">
        <v>55</v>
      </c>
      <c r="E92">
        <v>30</v>
      </c>
      <c r="F92" s="4">
        <v>43615</v>
      </c>
    </row>
    <row r="93" spans="1:6" x14ac:dyDescent="0.25">
      <c r="A93" t="s">
        <v>17</v>
      </c>
      <c r="B93" t="str">
        <f t="shared" si="2"/>
        <v>Pompe</v>
      </c>
      <c r="C93">
        <v>38</v>
      </c>
      <c r="D93" s="1">
        <v>55</v>
      </c>
      <c r="E93">
        <v>30</v>
      </c>
      <c r="F93" s="4">
        <v>43590</v>
      </c>
    </row>
    <row r="94" spans="1:6" x14ac:dyDescent="0.25">
      <c r="A94" t="s">
        <v>17</v>
      </c>
      <c r="B94" t="str">
        <f t="shared" si="2"/>
        <v>Pompe</v>
      </c>
      <c r="C94">
        <v>38</v>
      </c>
      <c r="D94" s="1">
        <v>55</v>
      </c>
      <c r="E94">
        <v>30</v>
      </c>
      <c r="F94" s="4">
        <v>43565</v>
      </c>
    </row>
    <row r="95" spans="1:6" x14ac:dyDescent="0.25">
      <c r="A95" t="s">
        <v>17</v>
      </c>
      <c r="B95" t="str">
        <f t="shared" si="2"/>
        <v>Pompe</v>
      </c>
      <c r="C95">
        <v>38</v>
      </c>
      <c r="D95" s="1">
        <v>55</v>
      </c>
      <c r="E95">
        <v>30</v>
      </c>
      <c r="F95" s="4">
        <v>43540</v>
      </c>
    </row>
    <row r="96" spans="1:6" x14ac:dyDescent="0.25">
      <c r="A96" t="s">
        <v>17</v>
      </c>
      <c r="B96" t="str">
        <f t="shared" si="2"/>
        <v>Pompe</v>
      </c>
      <c r="C96">
        <v>38</v>
      </c>
      <c r="D96" s="1">
        <v>55</v>
      </c>
      <c r="E96">
        <v>30</v>
      </c>
      <c r="F96" s="4">
        <v>43515</v>
      </c>
    </row>
    <row r="97" spans="1:6" x14ac:dyDescent="0.25">
      <c r="A97" t="s">
        <v>17</v>
      </c>
      <c r="B97" t="str">
        <f t="shared" si="2"/>
        <v>Pompe</v>
      </c>
      <c r="C97">
        <v>38</v>
      </c>
      <c r="D97" s="1">
        <v>55</v>
      </c>
      <c r="E97">
        <v>30</v>
      </c>
      <c r="F97" s="4">
        <v>43490</v>
      </c>
    </row>
    <row r="98" spans="1:6" x14ac:dyDescent="0.25">
      <c r="A98" t="s">
        <v>26</v>
      </c>
      <c r="B98" t="str">
        <f t="shared" si="2"/>
        <v>Aspiratori</v>
      </c>
      <c r="C98">
        <v>38</v>
      </c>
      <c r="D98" s="1">
        <v>50</v>
      </c>
      <c r="E98">
        <v>30</v>
      </c>
      <c r="F98" s="4">
        <v>43658</v>
      </c>
    </row>
    <row r="99" spans="1:6" x14ac:dyDescent="0.25">
      <c r="A99" t="s">
        <v>26</v>
      </c>
      <c r="B99" t="str">
        <f t="shared" si="2"/>
        <v>Aspiratori</v>
      </c>
      <c r="C99">
        <v>38</v>
      </c>
      <c r="D99" s="1">
        <v>50</v>
      </c>
      <c r="E99">
        <v>30</v>
      </c>
      <c r="F99" s="4">
        <v>43633</v>
      </c>
    </row>
    <row r="100" spans="1:6" x14ac:dyDescent="0.25">
      <c r="A100" t="s">
        <v>26</v>
      </c>
      <c r="B100" t="str">
        <f t="shared" si="2"/>
        <v>Aspiratori</v>
      </c>
      <c r="C100">
        <v>38</v>
      </c>
      <c r="D100" s="1">
        <v>50</v>
      </c>
      <c r="E100">
        <v>30</v>
      </c>
      <c r="F100" s="4">
        <v>43608</v>
      </c>
    </row>
    <row r="101" spans="1:6" x14ac:dyDescent="0.25">
      <c r="A101" t="s">
        <v>26</v>
      </c>
      <c r="B101" t="str">
        <f t="shared" si="2"/>
        <v>Aspiratori</v>
      </c>
      <c r="C101">
        <v>38</v>
      </c>
      <c r="D101" s="1">
        <v>50</v>
      </c>
      <c r="E101">
        <v>30</v>
      </c>
      <c r="F101" s="4">
        <v>43583</v>
      </c>
    </row>
    <row r="102" spans="1:6" x14ac:dyDescent="0.25">
      <c r="A102" t="s">
        <v>26</v>
      </c>
      <c r="B102" t="str">
        <f t="shared" si="2"/>
        <v>Aspiratori</v>
      </c>
      <c r="C102">
        <v>38</v>
      </c>
      <c r="D102" s="1">
        <v>50</v>
      </c>
      <c r="E102">
        <v>30</v>
      </c>
      <c r="F102" s="4">
        <v>43558</v>
      </c>
    </row>
    <row r="103" spans="1:6" x14ac:dyDescent="0.25">
      <c r="A103" t="s">
        <v>26</v>
      </c>
      <c r="B103" t="str">
        <f t="shared" si="2"/>
        <v>Aspiratori</v>
      </c>
      <c r="C103">
        <v>38</v>
      </c>
      <c r="D103" s="1">
        <v>50</v>
      </c>
      <c r="E103">
        <v>30</v>
      </c>
      <c r="F103" s="4">
        <v>43533</v>
      </c>
    </row>
    <row r="104" spans="1:6" x14ac:dyDescent="0.25">
      <c r="A104" t="s">
        <v>26</v>
      </c>
      <c r="B104" t="str">
        <f t="shared" si="2"/>
        <v>Aspiratori</v>
      </c>
      <c r="C104">
        <v>38</v>
      </c>
      <c r="D104" s="1">
        <v>50</v>
      </c>
      <c r="E104">
        <v>30</v>
      </c>
      <c r="F104" s="4">
        <v>43508</v>
      </c>
    </row>
    <row r="105" spans="1:6" x14ac:dyDescent="0.25">
      <c r="A105" t="s">
        <v>26</v>
      </c>
      <c r="B105" t="str">
        <f t="shared" si="2"/>
        <v>Aspiratori</v>
      </c>
      <c r="C105">
        <v>38</v>
      </c>
      <c r="D105" s="1">
        <v>50</v>
      </c>
      <c r="E105">
        <v>30</v>
      </c>
      <c r="F105" s="4">
        <v>43483</v>
      </c>
    </row>
    <row r="106" spans="1:6" x14ac:dyDescent="0.25">
      <c r="A106" t="s">
        <v>11</v>
      </c>
      <c r="B106" t="str">
        <f t="shared" si="2"/>
        <v>Trapani</v>
      </c>
      <c r="C106">
        <v>40</v>
      </c>
      <c r="D106" s="1">
        <v>109</v>
      </c>
      <c r="E106">
        <v>50</v>
      </c>
      <c r="F106" s="4">
        <v>43664</v>
      </c>
    </row>
    <row r="107" spans="1:6" x14ac:dyDescent="0.25">
      <c r="A107" t="s">
        <v>11</v>
      </c>
      <c r="B107" t="str">
        <f t="shared" si="2"/>
        <v>Trapani</v>
      </c>
      <c r="C107">
        <v>40</v>
      </c>
      <c r="D107" s="1">
        <v>109</v>
      </c>
      <c r="E107">
        <v>50</v>
      </c>
      <c r="F107" s="4">
        <v>43639</v>
      </c>
    </row>
    <row r="108" spans="1:6" x14ac:dyDescent="0.25">
      <c r="A108" t="s">
        <v>11</v>
      </c>
      <c r="B108" t="str">
        <f t="shared" si="2"/>
        <v>Trapani</v>
      </c>
      <c r="C108">
        <v>40</v>
      </c>
      <c r="D108" s="1">
        <v>109</v>
      </c>
      <c r="E108">
        <v>50</v>
      </c>
      <c r="F108" s="4">
        <v>43614</v>
      </c>
    </row>
    <row r="109" spans="1:6" x14ac:dyDescent="0.25">
      <c r="A109" t="s">
        <v>11</v>
      </c>
      <c r="B109" t="str">
        <f t="shared" si="2"/>
        <v>Trapani</v>
      </c>
      <c r="C109">
        <v>40</v>
      </c>
      <c r="D109" s="1">
        <v>109</v>
      </c>
      <c r="E109">
        <v>50</v>
      </c>
      <c r="F109" s="4">
        <v>43589</v>
      </c>
    </row>
    <row r="110" spans="1:6" x14ac:dyDescent="0.25">
      <c r="A110" t="s">
        <v>11</v>
      </c>
      <c r="B110" t="str">
        <f t="shared" si="2"/>
        <v>Trapani</v>
      </c>
      <c r="C110">
        <v>40</v>
      </c>
      <c r="D110" s="1">
        <v>109</v>
      </c>
      <c r="E110">
        <v>50</v>
      </c>
      <c r="F110" s="4">
        <v>43564</v>
      </c>
    </row>
    <row r="111" spans="1:6" x14ac:dyDescent="0.25">
      <c r="A111" t="s">
        <v>11</v>
      </c>
      <c r="B111" t="str">
        <f t="shared" si="2"/>
        <v>Trapani</v>
      </c>
      <c r="C111">
        <v>40</v>
      </c>
      <c r="D111" s="1">
        <v>109</v>
      </c>
      <c r="E111">
        <v>50</v>
      </c>
      <c r="F111" s="4">
        <v>43539</v>
      </c>
    </row>
    <row r="112" spans="1:6" x14ac:dyDescent="0.25">
      <c r="A112" t="s">
        <v>11</v>
      </c>
      <c r="B112" t="str">
        <f t="shared" si="2"/>
        <v>Trapani</v>
      </c>
      <c r="C112">
        <v>40</v>
      </c>
      <c r="D112" s="1">
        <v>109</v>
      </c>
      <c r="E112">
        <v>50</v>
      </c>
      <c r="F112" s="4">
        <v>43514</v>
      </c>
    </row>
    <row r="113" spans="1:6" x14ac:dyDescent="0.25">
      <c r="A113" t="s">
        <v>11</v>
      </c>
      <c r="B113" t="str">
        <f t="shared" si="2"/>
        <v>Trapani</v>
      </c>
      <c r="C113">
        <v>40</v>
      </c>
      <c r="D113" s="1">
        <v>109</v>
      </c>
      <c r="E113">
        <v>50</v>
      </c>
      <c r="F113" s="4">
        <v>43489</v>
      </c>
    </row>
    <row r="114" spans="1:6" x14ac:dyDescent="0.25">
      <c r="A114" t="s">
        <v>3</v>
      </c>
      <c r="B114" t="str">
        <f t="shared" si="2"/>
        <v>Compressori</v>
      </c>
      <c r="C114">
        <v>45</v>
      </c>
      <c r="D114" s="1">
        <v>50</v>
      </c>
      <c r="E114">
        <v>50</v>
      </c>
      <c r="F114" s="4">
        <v>43648</v>
      </c>
    </row>
    <row r="115" spans="1:6" x14ac:dyDescent="0.25">
      <c r="A115" t="s">
        <v>3</v>
      </c>
      <c r="B115" t="str">
        <f t="shared" si="2"/>
        <v>Compressori</v>
      </c>
      <c r="C115">
        <v>45</v>
      </c>
      <c r="D115" s="1">
        <v>50</v>
      </c>
      <c r="E115">
        <v>50</v>
      </c>
      <c r="F115" s="4">
        <v>43623</v>
      </c>
    </row>
    <row r="116" spans="1:6" x14ac:dyDescent="0.25">
      <c r="A116" t="s">
        <v>3</v>
      </c>
      <c r="B116" t="str">
        <f t="shared" si="2"/>
        <v>Compressori</v>
      </c>
      <c r="C116">
        <v>45</v>
      </c>
      <c r="D116" s="1">
        <v>50</v>
      </c>
      <c r="E116">
        <v>50</v>
      </c>
      <c r="F116" s="4">
        <v>43598</v>
      </c>
    </row>
    <row r="117" spans="1:6" x14ac:dyDescent="0.25">
      <c r="A117" t="s">
        <v>3</v>
      </c>
      <c r="B117" t="str">
        <f t="shared" si="2"/>
        <v>Compressori</v>
      </c>
      <c r="C117">
        <v>45</v>
      </c>
      <c r="D117" s="1">
        <v>50</v>
      </c>
      <c r="E117">
        <v>50</v>
      </c>
      <c r="F117" s="4">
        <v>43573</v>
      </c>
    </row>
    <row r="118" spans="1:6" x14ac:dyDescent="0.25">
      <c r="A118" t="s">
        <v>3</v>
      </c>
      <c r="B118" t="str">
        <f t="shared" si="2"/>
        <v>Compressori</v>
      </c>
      <c r="C118">
        <v>45</v>
      </c>
      <c r="D118" s="1">
        <v>50</v>
      </c>
      <c r="E118">
        <v>50</v>
      </c>
      <c r="F118" s="4">
        <v>43548</v>
      </c>
    </row>
    <row r="119" spans="1:6" x14ac:dyDescent="0.25">
      <c r="A119" t="s">
        <v>3</v>
      </c>
      <c r="B119" t="str">
        <f t="shared" si="2"/>
        <v>Compressori</v>
      </c>
      <c r="C119">
        <v>45</v>
      </c>
      <c r="D119" s="1">
        <v>50</v>
      </c>
      <c r="E119">
        <v>50</v>
      </c>
      <c r="F119" s="4">
        <v>43523</v>
      </c>
    </row>
    <row r="120" spans="1:6" x14ac:dyDescent="0.25">
      <c r="A120" t="s">
        <v>3</v>
      </c>
      <c r="B120" t="str">
        <f t="shared" si="2"/>
        <v>Compressori</v>
      </c>
      <c r="C120">
        <v>45</v>
      </c>
      <c r="D120" s="1">
        <v>50</v>
      </c>
      <c r="E120">
        <v>50</v>
      </c>
      <c r="F120" s="4">
        <v>43498</v>
      </c>
    </row>
    <row r="121" spans="1:6" x14ac:dyDescent="0.25">
      <c r="A121" t="s">
        <v>3</v>
      </c>
      <c r="B121" t="str">
        <f t="shared" si="2"/>
        <v>Compressori</v>
      </c>
      <c r="C121">
        <v>45</v>
      </c>
      <c r="D121" s="1">
        <v>50</v>
      </c>
      <c r="E121">
        <v>50</v>
      </c>
      <c r="F121" s="4">
        <v>43473</v>
      </c>
    </row>
    <row r="122" spans="1:6" x14ac:dyDescent="0.25">
      <c r="A122" t="s">
        <v>7</v>
      </c>
      <c r="B122" t="str">
        <f t="shared" si="2"/>
        <v>Aspiratori</v>
      </c>
      <c r="C122">
        <v>45</v>
      </c>
      <c r="D122" s="1">
        <v>30</v>
      </c>
      <c r="E122">
        <v>100</v>
      </c>
      <c r="F122" s="4">
        <v>43656</v>
      </c>
    </row>
    <row r="123" spans="1:6" x14ac:dyDescent="0.25">
      <c r="A123" t="s">
        <v>7</v>
      </c>
      <c r="B123" t="str">
        <f t="shared" si="2"/>
        <v>Aspiratori</v>
      </c>
      <c r="C123">
        <v>45</v>
      </c>
      <c r="D123" s="1">
        <v>30</v>
      </c>
      <c r="E123">
        <v>100</v>
      </c>
      <c r="F123" s="4">
        <v>43631</v>
      </c>
    </row>
    <row r="124" spans="1:6" x14ac:dyDescent="0.25">
      <c r="A124" t="s">
        <v>7</v>
      </c>
      <c r="B124" t="str">
        <f t="shared" si="2"/>
        <v>Aspiratori</v>
      </c>
      <c r="C124">
        <v>45</v>
      </c>
      <c r="D124" s="1">
        <v>30</v>
      </c>
      <c r="E124">
        <v>100</v>
      </c>
      <c r="F124" s="4">
        <v>43606</v>
      </c>
    </row>
    <row r="125" spans="1:6" x14ac:dyDescent="0.25">
      <c r="A125" t="s">
        <v>7</v>
      </c>
      <c r="B125" t="str">
        <f t="shared" si="2"/>
        <v>Aspiratori</v>
      </c>
      <c r="C125">
        <v>45</v>
      </c>
      <c r="D125" s="1">
        <v>30</v>
      </c>
      <c r="E125">
        <v>100</v>
      </c>
      <c r="F125" s="4">
        <v>43581</v>
      </c>
    </row>
    <row r="126" spans="1:6" x14ac:dyDescent="0.25">
      <c r="A126" t="s">
        <v>7</v>
      </c>
      <c r="B126" t="str">
        <f t="shared" si="2"/>
        <v>Aspiratori</v>
      </c>
      <c r="C126">
        <v>45</v>
      </c>
      <c r="D126" s="1">
        <v>30</v>
      </c>
      <c r="E126">
        <v>100</v>
      </c>
      <c r="F126" s="4">
        <v>43556</v>
      </c>
    </row>
    <row r="127" spans="1:6" x14ac:dyDescent="0.25">
      <c r="A127" t="s">
        <v>7</v>
      </c>
      <c r="B127" t="str">
        <f t="shared" si="2"/>
        <v>Aspiratori</v>
      </c>
      <c r="C127">
        <v>45</v>
      </c>
      <c r="D127" s="1">
        <v>30</v>
      </c>
      <c r="E127">
        <v>100</v>
      </c>
      <c r="F127" s="4">
        <v>43531</v>
      </c>
    </row>
    <row r="128" spans="1:6" x14ac:dyDescent="0.25">
      <c r="A128" t="s">
        <v>7</v>
      </c>
      <c r="B128" t="str">
        <f t="shared" si="2"/>
        <v>Aspiratori</v>
      </c>
      <c r="C128">
        <v>45</v>
      </c>
      <c r="D128" s="1">
        <v>30</v>
      </c>
      <c r="E128">
        <v>100</v>
      </c>
      <c r="F128" s="4">
        <v>43506</v>
      </c>
    </row>
    <row r="129" spans="1:6" x14ac:dyDescent="0.25">
      <c r="A129" t="s">
        <v>7</v>
      </c>
      <c r="B129" t="str">
        <f t="shared" si="2"/>
        <v>Aspiratori</v>
      </c>
      <c r="C129">
        <v>45</v>
      </c>
      <c r="D129" s="1">
        <v>30</v>
      </c>
      <c r="E129">
        <v>100</v>
      </c>
      <c r="F129" s="4">
        <v>43481</v>
      </c>
    </row>
    <row r="130" spans="1:6" x14ac:dyDescent="0.25">
      <c r="A130" t="s">
        <v>18</v>
      </c>
      <c r="B130" t="str">
        <f t="shared" si="2"/>
        <v>Aspiratori</v>
      </c>
      <c r="C130">
        <v>45</v>
      </c>
      <c r="D130" s="1">
        <v>28</v>
      </c>
      <c r="E130">
        <v>50</v>
      </c>
      <c r="F130" s="4">
        <v>43662</v>
      </c>
    </row>
    <row r="131" spans="1:6" x14ac:dyDescent="0.25">
      <c r="A131" t="s">
        <v>18</v>
      </c>
      <c r="B131" t="str">
        <f t="shared" ref="B131:B194" si="3">VLOOKUP(A131,$I$1:$J$26,2,FALSE)</f>
        <v>Aspiratori</v>
      </c>
      <c r="C131">
        <v>45</v>
      </c>
      <c r="D131" s="1">
        <v>28</v>
      </c>
      <c r="E131">
        <v>50</v>
      </c>
      <c r="F131" s="4">
        <v>43637</v>
      </c>
    </row>
    <row r="132" spans="1:6" x14ac:dyDescent="0.25">
      <c r="A132" t="s">
        <v>18</v>
      </c>
      <c r="B132" t="str">
        <f t="shared" si="3"/>
        <v>Aspiratori</v>
      </c>
      <c r="C132">
        <v>45</v>
      </c>
      <c r="D132" s="1">
        <v>28</v>
      </c>
      <c r="E132">
        <v>50</v>
      </c>
      <c r="F132" s="4">
        <v>43612</v>
      </c>
    </row>
    <row r="133" spans="1:6" x14ac:dyDescent="0.25">
      <c r="A133" t="s">
        <v>18</v>
      </c>
      <c r="B133" t="str">
        <f t="shared" si="3"/>
        <v>Aspiratori</v>
      </c>
      <c r="C133">
        <v>45</v>
      </c>
      <c r="D133" s="1">
        <v>28</v>
      </c>
      <c r="E133">
        <v>50</v>
      </c>
      <c r="F133" s="4">
        <v>43587</v>
      </c>
    </row>
    <row r="134" spans="1:6" x14ac:dyDescent="0.25">
      <c r="A134" t="s">
        <v>18</v>
      </c>
      <c r="B134" t="str">
        <f t="shared" si="3"/>
        <v>Aspiratori</v>
      </c>
      <c r="C134">
        <v>45</v>
      </c>
      <c r="D134" s="1">
        <v>28</v>
      </c>
      <c r="E134">
        <v>50</v>
      </c>
      <c r="F134" s="4">
        <v>43562</v>
      </c>
    </row>
    <row r="135" spans="1:6" x14ac:dyDescent="0.25">
      <c r="A135" t="s">
        <v>18</v>
      </c>
      <c r="B135" t="str">
        <f t="shared" si="3"/>
        <v>Aspiratori</v>
      </c>
      <c r="C135">
        <v>45</v>
      </c>
      <c r="D135" s="1">
        <v>28</v>
      </c>
      <c r="E135">
        <v>50</v>
      </c>
      <c r="F135" s="4">
        <v>43537</v>
      </c>
    </row>
    <row r="136" spans="1:6" x14ac:dyDescent="0.25">
      <c r="A136" t="s">
        <v>18</v>
      </c>
      <c r="B136" t="str">
        <f t="shared" si="3"/>
        <v>Aspiratori</v>
      </c>
      <c r="C136">
        <v>45</v>
      </c>
      <c r="D136" s="1">
        <v>28</v>
      </c>
      <c r="E136">
        <v>50</v>
      </c>
      <c r="F136" s="4">
        <v>43512</v>
      </c>
    </row>
    <row r="137" spans="1:6" x14ac:dyDescent="0.25">
      <c r="A137" t="s">
        <v>18</v>
      </c>
      <c r="B137" t="str">
        <f t="shared" si="3"/>
        <v>Aspiratori</v>
      </c>
      <c r="C137">
        <v>45</v>
      </c>
      <c r="D137" s="1">
        <v>28</v>
      </c>
      <c r="E137">
        <v>50</v>
      </c>
      <c r="F137" s="4">
        <v>43487</v>
      </c>
    </row>
    <row r="138" spans="1:6" x14ac:dyDescent="0.25">
      <c r="A138" t="s">
        <v>2</v>
      </c>
      <c r="B138" t="str">
        <f t="shared" si="3"/>
        <v>Compressori</v>
      </c>
      <c r="C138">
        <v>48</v>
      </c>
      <c r="D138" s="1">
        <v>55</v>
      </c>
      <c r="E138">
        <v>50</v>
      </c>
      <c r="F138" s="4">
        <v>43646</v>
      </c>
    </row>
    <row r="139" spans="1:6" x14ac:dyDescent="0.25">
      <c r="A139" t="s">
        <v>2</v>
      </c>
      <c r="B139" t="str">
        <f t="shared" si="3"/>
        <v>Compressori</v>
      </c>
      <c r="C139">
        <v>48</v>
      </c>
      <c r="D139" s="1">
        <v>55</v>
      </c>
      <c r="E139">
        <v>50</v>
      </c>
      <c r="F139" s="4">
        <v>43621</v>
      </c>
    </row>
    <row r="140" spans="1:6" x14ac:dyDescent="0.25">
      <c r="A140" t="s">
        <v>2</v>
      </c>
      <c r="B140" t="str">
        <f t="shared" si="3"/>
        <v>Compressori</v>
      </c>
      <c r="C140">
        <v>48</v>
      </c>
      <c r="D140" s="1">
        <v>55</v>
      </c>
      <c r="E140">
        <v>50</v>
      </c>
      <c r="F140" s="4">
        <v>43596</v>
      </c>
    </row>
    <row r="141" spans="1:6" x14ac:dyDescent="0.25">
      <c r="A141" t="s">
        <v>2</v>
      </c>
      <c r="B141" t="str">
        <f t="shared" si="3"/>
        <v>Compressori</v>
      </c>
      <c r="C141">
        <v>48</v>
      </c>
      <c r="D141" s="1">
        <v>55</v>
      </c>
      <c r="E141">
        <v>50</v>
      </c>
      <c r="F141" s="4">
        <v>43571</v>
      </c>
    </row>
    <row r="142" spans="1:6" x14ac:dyDescent="0.25">
      <c r="A142" t="s">
        <v>2</v>
      </c>
      <c r="B142" t="str">
        <f t="shared" si="3"/>
        <v>Compressori</v>
      </c>
      <c r="C142">
        <v>48</v>
      </c>
      <c r="D142" s="1">
        <v>55</v>
      </c>
      <c r="E142">
        <v>50</v>
      </c>
      <c r="F142" s="4">
        <v>43546</v>
      </c>
    </row>
    <row r="143" spans="1:6" x14ac:dyDescent="0.25">
      <c r="A143" t="s">
        <v>2</v>
      </c>
      <c r="B143" t="str">
        <f t="shared" si="3"/>
        <v>Compressori</v>
      </c>
      <c r="C143">
        <v>48</v>
      </c>
      <c r="D143" s="1">
        <v>55</v>
      </c>
      <c r="E143">
        <v>50</v>
      </c>
      <c r="F143" s="4">
        <v>43521</v>
      </c>
    </row>
    <row r="144" spans="1:6" x14ac:dyDescent="0.25">
      <c r="A144" t="s">
        <v>2</v>
      </c>
      <c r="B144" t="str">
        <f t="shared" si="3"/>
        <v>Compressori</v>
      </c>
      <c r="C144">
        <v>48</v>
      </c>
      <c r="D144" s="1">
        <v>55</v>
      </c>
      <c r="E144">
        <v>50</v>
      </c>
      <c r="F144" s="4">
        <v>43496</v>
      </c>
    </row>
    <row r="145" spans="1:6" x14ac:dyDescent="0.25">
      <c r="A145" t="s">
        <v>2</v>
      </c>
      <c r="B145" t="str">
        <f t="shared" si="3"/>
        <v>Compressori</v>
      </c>
      <c r="C145">
        <v>48</v>
      </c>
      <c r="D145" s="1">
        <v>55</v>
      </c>
      <c r="E145">
        <v>50</v>
      </c>
      <c r="F145" s="4">
        <v>43471</v>
      </c>
    </row>
    <row r="146" spans="1:6" x14ac:dyDescent="0.25">
      <c r="A146" t="s">
        <v>25</v>
      </c>
      <c r="B146" t="str">
        <f t="shared" si="3"/>
        <v>Pompe</v>
      </c>
      <c r="C146">
        <v>51</v>
      </c>
      <c r="D146" s="1">
        <v>118</v>
      </c>
      <c r="E146">
        <v>20</v>
      </c>
      <c r="F146" s="4">
        <v>43655</v>
      </c>
    </row>
    <row r="147" spans="1:6" x14ac:dyDescent="0.25">
      <c r="A147" t="s">
        <v>25</v>
      </c>
      <c r="B147" t="str">
        <f t="shared" si="3"/>
        <v>Pompe</v>
      </c>
      <c r="C147">
        <v>51</v>
      </c>
      <c r="D147" s="1">
        <v>118</v>
      </c>
      <c r="E147">
        <v>20</v>
      </c>
      <c r="F147" s="4">
        <v>43630</v>
      </c>
    </row>
    <row r="148" spans="1:6" x14ac:dyDescent="0.25">
      <c r="A148" t="s">
        <v>25</v>
      </c>
      <c r="B148" t="str">
        <f t="shared" si="3"/>
        <v>Pompe</v>
      </c>
      <c r="C148">
        <v>51</v>
      </c>
      <c r="D148" s="1">
        <v>118</v>
      </c>
      <c r="E148">
        <v>20</v>
      </c>
      <c r="F148" s="4">
        <v>43605</v>
      </c>
    </row>
    <row r="149" spans="1:6" x14ac:dyDescent="0.25">
      <c r="A149" t="s">
        <v>25</v>
      </c>
      <c r="B149" t="str">
        <f t="shared" si="3"/>
        <v>Pompe</v>
      </c>
      <c r="C149">
        <v>51</v>
      </c>
      <c r="D149" s="1">
        <v>118</v>
      </c>
      <c r="E149">
        <v>20</v>
      </c>
      <c r="F149" s="4">
        <v>43580</v>
      </c>
    </row>
    <row r="150" spans="1:6" x14ac:dyDescent="0.25">
      <c r="A150" t="s">
        <v>25</v>
      </c>
      <c r="B150" t="str">
        <f t="shared" si="3"/>
        <v>Pompe</v>
      </c>
      <c r="C150">
        <v>51</v>
      </c>
      <c r="D150" s="1">
        <v>118</v>
      </c>
      <c r="E150">
        <v>20</v>
      </c>
      <c r="F150" s="4">
        <v>43555</v>
      </c>
    </row>
    <row r="151" spans="1:6" x14ac:dyDescent="0.25">
      <c r="A151" t="s">
        <v>25</v>
      </c>
      <c r="B151" t="str">
        <f t="shared" si="3"/>
        <v>Pompe</v>
      </c>
      <c r="C151">
        <v>51</v>
      </c>
      <c r="D151" s="1">
        <v>118</v>
      </c>
      <c r="E151">
        <v>20</v>
      </c>
      <c r="F151" s="4">
        <v>43530</v>
      </c>
    </row>
    <row r="152" spans="1:6" x14ac:dyDescent="0.25">
      <c r="A152" t="s">
        <v>25</v>
      </c>
      <c r="B152" t="str">
        <f t="shared" si="3"/>
        <v>Pompe</v>
      </c>
      <c r="C152">
        <v>51</v>
      </c>
      <c r="D152" s="1">
        <v>118</v>
      </c>
      <c r="E152">
        <v>20</v>
      </c>
      <c r="F152" s="4">
        <v>43505</v>
      </c>
    </row>
    <row r="153" spans="1:6" x14ac:dyDescent="0.25">
      <c r="A153" t="s">
        <v>25</v>
      </c>
      <c r="B153" t="str">
        <f t="shared" si="3"/>
        <v>Pompe</v>
      </c>
      <c r="C153">
        <v>51</v>
      </c>
      <c r="D153" s="1">
        <v>118</v>
      </c>
      <c r="E153">
        <v>20</v>
      </c>
      <c r="F153" s="4">
        <v>43480</v>
      </c>
    </row>
    <row r="154" spans="1:6" x14ac:dyDescent="0.25">
      <c r="A154" t="s">
        <v>1</v>
      </c>
      <c r="B154" t="str">
        <f t="shared" si="3"/>
        <v>Compressori</v>
      </c>
      <c r="C154">
        <v>57</v>
      </c>
      <c r="D154" s="1">
        <v>65</v>
      </c>
      <c r="E154">
        <v>50</v>
      </c>
      <c r="F154" s="4">
        <v>43642</v>
      </c>
    </row>
    <row r="155" spans="1:6" x14ac:dyDescent="0.25">
      <c r="A155" t="s">
        <v>1</v>
      </c>
      <c r="B155" t="str">
        <f t="shared" si="3"/>
        <v>Compressori</v>
      </c>
      <c r="C155">
        <v>57</v>
      </c>
      <c r="D155" s="1">
        <v>65</v>
      </c>
      <c r="E155">
        <v>50</v>
      </c>
      <c r="F155" s="4">
        <v>43617</v>
      </c>
    </row>
    <row r="156" spans="1:6" x14ac:dyDescent="0.25">
      <c r="A156" t="s">
        <v>1</v>
      </c>
      <c r="B156" t="str">
        <f t="shared" si="3"/>
        <v>Compressori</v>
      </c>
      <c r="C156">
        <v>57</v>
      </c>
      <c r="D156" s="1">
        <v>65</v>
      </c>
      <c r="E156">
        <v>50</v>
      </c>
      <c r="F156" s="4">
        <v>43592</v>
      </c>
    </row>
    <row r="157" spans="1:6" x14ac:dyDescent="0.25">
      <c r="A157" t="s">
        <v>1</v>
      </c>
      <c r="B157" t="str">
        <f t="shared" si="3"/>
        <v>Compressori</v>
      </c>
      <c r="C157">
        <v>57</v>
      </c>
      <c r="D157" s="1">
        <v>65</v>
      </c>
      <c r="E157">
        <v>50</v>
      </c>
      <c r="F157" s="4">
        <v>43567</v>
      </c>
    </row>
    <row r="158" spans="1:6" x14ac:dyDescent="0.25">
      <c r="A158" t="s">
        <v>1</v>
      </c>
      <c r="B158" t="str">
        <f t="shared" si="3"/>
        <v>Compressori</v>
      </c>
      <c r="C158">
        <v>57</v>
      </c>
      <c r="D158" s="1">
        <v>65</v>
      </c>
      <c r="E158">
        <v>50</v>
      </c>
      <c r="F158" s="4">
        <v>43542</v>
      </c>
    </row>
    <row r="159" spans="1:6" x14ac:dyDescent="0.25">
      <c r="A159" t="s">
        <v>1</v>
      </c>
      <c r="B159" t="str">
        <f t="shared" si="3"/>
        <v>Compressori</v>
      </c>
      <c r="C159">
        <v>57</v>
      </c>
      <c r="D159" s="1">
        <v>65</v>
      </c>
      <c r="E159">
        <v>50</v>
      </c>
      <c r="F159" s="4">
        <v>43517</v>
      </c>
    </row>
    <row r="160" spans="1:6" x14ac:dyDescent="0.25">
      <c r="A160" t="s">
        <v>1</v>
      </c>
      <c r="B160" t="str">
        <f t="shared" si="3"/>
        <v>Compressori</v>
      </c>
      <c r="C160">
        <v>57</v>
      </c>
      <c r="D160" s="1">
        <v>65</v>
      </c>
      <c r="E160">
        <v>50</v>
      </c>
      <c r="F160" s="4">
        <v>43492</v>
      </c>
    </row>
    <row r="161" spans="1:6" x14ac:dyDescent="0.25">
      <c r="A161" t="s">
        <v>1</v>
      </c>
      <c r="B161" t="str">
        <f t="shared" si="3"/>
        <v>Compressori</v>
      </c>
      <c r="C161">
        <v>57</v>
      </c>
      <c r="D161" s="2">
        <v>65</v>
      </c>
      <c r="E161">
        <v>50</v>
      </c>
      <c r="F161" s="4">
        <v>43467</v>
      </c>
    </row>
    <row r="162" spans="1:6" x14ac:dyDescent="0.25">
      <c r="A162" t="s">
        <v>16</v>
      </c>
      <c r="B162" t="str">
        <f t="shared" si="3"/>
        <v>Compressori</v>
      </c>
      <c r="C162">
        <v>65</v>
      </c>
      <c r="D162" s="1">
        <v>48</v>
      </c>
      <c r="E162">
        <v>60</v>
      </c>
      <c r="F162" s="4">
        <v>43647</v>
      </c>
    </row>
    <row r="163" spans="1:6" x14ac:dyDescent="0.25">
      <c r="A163" t="s">
        <v>16</v>
      </c>
      <c r="B163" t="str">
        <f t="shared" si="3"/>
        <v>Compressori</v>
      </c>
      <c r="C163">
        <v>65</v>
      </c>
      <c r="D163" s="1">
        <v>48</v>
      </c>
      <c r="E163">
        <v>60</v>
      </c>
      <c r="F163" s="4">
        <v>43622</v>
      </c>
    </row>
    <row r="164" spans="1:6" x14ac:dyDescent="0.25">
      <c r="A164" t="s">
        <v>16</v>
      </c>
      <c r="B164" t="str">
        <f t="shared" si="3"/>
        <v>Compressori</v>
      </c>
      <c r="C164">
        <v>65</v>
      </c>
      <c r="D164" s="1">
        <v>48</v>
      </c>
      <c r="E164">
        <v>60</v>
      </c>
      <c r="F164" s="4">
        <v>43597</v>
      </c>
    </row>
    <row r="165" spans="1:6" x14ac:dyDescent="0.25">
      <c r="A165" t="s">
        <v>16</v>
      </c>
      <c r="B165" t="str">
        <f t="shared" si="3"/>
        <v>Compressori</v>
      </c>
      <c r="C165">
        <v>65</v>
      </c>
      <c r="D165" s="1">
        <v>48</v>
      </c>
      <c r="E165">
        <v>60</v>
      </c>
      <c r="F165" s="4">
        <v>43572</v>
      </c>
    </row>
    <row r="166" spans="1:6" x14ac:dyDescent="0.25">
      <c r="A166" t="s">
        <v>16</v>
      </c>
      <c r="B166" t="str">
        <f t="shared" si="3"/>
        <v>Compressori</v>
      </c>
      <c r="C166">
        <v>65</v>
      </c>
      <c r="D166" s="1">
        <v>48</v>
      </c>
      <c r="E166">
        <v>60</v>
      </c>
      <c r="F166" s="4">
        <v>43547</v>
      </c>
    </row>
    <row r="167" spans="1:6" x14ac:dyDescent="0.25">
      <c r="A167" t="s">
        <v>16</v>
      </c>
      <c r="B167" t="str">
        <f t="shared" si="3"/>
        <v>Compressori</v>
      </c>
      <c r="C167">
        <v>65</v>
      </c>
      <c r="D167" s="1">
        <v>48</v>
      </c>
      <c r="E167">
        <v>60</v>
      </c>
      <c r="F167" s="4">
        <v>43522</v>
      </c>
    </row>
    <row r="168" spans="1:6" x14ac:dyDescent="0.25">
      <c r="A168" t="s">
        <v>16</v>
      </c>
      <c r="B168" t="str">
        <f t="shared" si="3"/>
        <v>Compressori</v>
      </c>
      <c r="C168">
        <v>65</v>
      </c>
      <c r="D168" s="1">
        <v>48</v>
      </c>
      <c r="E168">
        <v>60</v>
      </c>
      <c r="F168" s="4">
        <v>43497</v>
      </c>
    </row>
    <row r="169" spans="1:6" x14ac:dyDescent="0.25">
      <c r="A169" t="s">
        <v>16</v>
      </c>
      <c r="B169" t="str">
        <f t="shared" si="3"/>
        <v>Compressori</v>
      </c>
      <c r="C169">
        <v>65</v>
      </c>
      <c r="D169" s="1">
        <v>48</v>
      </c>
      <c r="E169">
        <v>60</v>
      </c>
      <c r="F169" s="4">
        <v>43472</v>
      </c>
    </row>
    <row r="170" spans="1:6" x14ac:dyDescent="0.25">
      <c r="A170" t="s">
        <v>10</v>
      </c>
      <c r="B170" t="str">
        <f t="shared" si="3"/>
        <v>Trapani</v>
      </c>
      <c r="C170">
        <v>68</v>
      </c>
      <c r="D170" s="1">
        <v>89</v>
      </c>
      <c r="E170">
        <v>100</v>
      </c>
      <c r="F170" s="4">
        <v>43663</v>
      </c>
    </row>
    <row r="171" spans="1:6" x14ac:dyDescent="0.25">
      <c r="A171" t="s">
        <v>10</v>
      </c>
      <c r="B171" t="str">
        <f t="shared" si="3"/>
        <v>Trapani</v>
      </c>
      <c r="C171">
        <v>68</v>
      </c>
      <c r="D171" s="1">
        <v>89</v>
      </c>
      <c r="E171">
        <v>100</v>
      </c>
      <c r="F171" s="4">
        <v>43638</v>
      </c>
    </row>
    <row r="172" spans="1:6" x14ac:dyDescent="0.25">
      <c r="A172" t="s">
        <v>10</v>
      </c>
      <c r="B172" t="str">
        <f t="shared" si="3"/>
        <v>Trapani</v>
      </c>
      <c r="C172">
        <v>68</v>
      </c>
      <c r="D172" s="1">
        <v>89</v>
      </c>
      <c r="E172">
        <v>100</v>
      </c>
      <c r="F172" s="4">
        <v>43613</v>
      </c>
    </row>
    <row r="173" spans="1:6" x14ac:dyDescent="0.25">
      <c r="A173" t="s">
        <v>10</v>
      </c>
      <c r="B173" t="str">
        <f t="shared" si="3"/>
        <v>Trapani</v>
      </c>
      <c r="C173">
        <v>68</v>
      </c>
      <c r="D173" s="1">
        <v>89</v>
      </c>
      <c r="E173">
        <v>100</v>
      </c>
      <c r="F173" s="4">
        <v>43588</v>
      </c>
    </row>
    <row r="174" spans="1:6" x14ac:dyDescent="0.25">
      <c r="A174" t="s">
        <v>10</v>
      </c>
      <c r="B174" t="str">
        <f t="shared" si="3"/>
        <v>Trapani</v>
      </c>
      <c r="C174">
        <v>68</v>
      </c>
      <c r="D174" s="1">
        <v>89</v>
      </c>
      <c r="E174">
        <v>100</v>
      </c>
      <c r="F174" s="4">
        <v>43563</v>
      </c>
    </row>
    <row r="175" spans="1:6" x14ac:dyDescent="0.25">
      <c r="A175" t="s">
        <v>10</v>
      </c>
      <c r="B175" t="str">
        <f t="shared" si="3"/>
        <v>Trapani</v>
      </c>
      <c r="C175">
        <v>68</v>
      </c>
      <c r="D175" s="1">
        <v>89</v>
      </c>
      <c r="E175">
        <v>100</v>
      </c>
      <c r="F175" s="4">
        <v>43538</v>
      </c>
    </row>
    <row r="176" spans="1:6" x14ac:dyDescent="0.25">
      <c r="A176" t="s">
        <v>10</v>
      </c>
      <c r="B176" t="str">
        <f t="shared" si="3"/>
        <v>Trapani</v>
      </c>
      <c r="C176">
        <v>68</v>
      </c>
      <c r="D176" s="1">
        <v>89</v>
      </c>
      <c r="E176">
        <v>100</v>
      </c>
      <c r="F176" s="4">
        <v>43513</v>
      </c>
    </row>
    <row r="177" spans="1:6" x14ac:dyDescent="0.25">
      <c r="A177" t="s">
        <v>10</v>
      </c>
      <c r="B177" t="str">
        <f t="shared" si="3"/>
        <v>Trapani</v>
      </c>
      <c r="C177">
        <v>68</v>
      </c>
      <c r="D177" s="1">
        <v>89</v>
      </c>
      <c r="E177">
        <v>100</v>
      </c>
      <c r="F177" s="4">
        <v>43488</v>
      </c>
    </row>
    <row r="178" spans="1:6" x14ac:dyDescent="0.25">
      <c r="A178" t="s">
        <v>8</v>
      </c>
      <c r="B178" t="str">
        <f t="shared" si="3"/>
        <v>Aspiratori</v>
      </c>
      <c r="C178">
        <v>70</v>
      </c>
      <c r="D178" s="1">
        <v>40</v>
      </c>
      <c r="E178">
        <v>50</v>
      </c>
      <c r="F178" s="4">
        <v>43657</v>
      </c>
    </row>
    <row r="179" spans="1:6" x14ac:dyDescent="0.25">
      <c r="A179" t="s">
        <v>8</v>
      </c>
      <c r="B179" t="str">
        <f t="shared" si="3"/>
        <v>Aspiratori</v>
      </c>
      <c r="C179">
        <v>70</v>
      </c>
      <c r="D179" s="1">
        <v>40</v>
      </c>
      <c r="E179">
        <v>50</v>
      </c>
      <c r="F179" s="4">
        <v>43632</v>
      </c>
    </row>
    <row r="180" spans="1:6" x14ac:dyDescent="0.25">
      <c r="A180" t="s">
        <v>8</v>
      </c>
      <c r="B180" t="str">
        <f t="shared" si="3"/>
        <v>Aspiratori</v>
      </c>
      <c r="C180">
        <v>70</v>
      </c>
      <c r="D180" s="1">
        <v>40</v>
      </c>
      <c r="E180">
        <v>50</v>
      </c>
      <c r="F180" s="4">
        <v>43607</v>
      </c>
    </row>
    <row r="181" spans="1:6" x14ac:dyDescent="0.25">
      <c r="A181" t="s">
        <v>8</v>
      </c>
      <c r="B181" t="str">
        <f t="shared" si="3"/>
        <v>Aspiratori</v>
      </c>
      <c r="C181">
        <v>70</v>
      </c>
      <c r="D181" s="1">
        <v>40</v>
      </c>
      <c r="E181">
        <v>50</v>
      </c>
      <c r="F181" s="4">
        <v>43582</v>
      </c>
    </row>
    <row r="182" spans="1:6" x14ac:dyDescent="0.25">
      <c r="A182" t="s">
        <v>8</v>
      </c>
      <c r="B182" t="str">
        <f t="shared" si="3"/>
        <v>Aspiratori</v>
      </c>
      <c r="C182">
        <v>70</v>
      </c>
      <c r="D182" s="1">
        <v>40</v>
      </c>
      <c r="E182">
        <v>50</v>
      </c>
      <c r="F182" s="4">
        <v>43557</v>
      </c>
    </row>
    <row r="183" spans="1:6" x14ac:dyDescent="0.25">
      <c r="A183" t="s">
        <v>8</v>
      </c>
      <c r="B183" t="str">
        <f t="shared" si="3"/>
        <v>Aspiratori</v>
      </c>
      <c r="C183">
        <v>70</v>
      </c>
      <c r="D183" s="1">
        <v>40</v>
      </c>
      <c r="E183">
        <v>50</v>
      </c>
      <c r="F183" s="4">
        <v>43532</v>
      </c>
    </row>
    <row r="184" spans="1:6" x14ac:dyDescent="0.25">
      <c r="A184" t="s">
        <v>8</v>
      </c>
      <c r="B184" t="str">
        <f t="shared" si="3"/>
        <v>Aspiratori</v>
      </c>
      <c r="C184">
        <v>70</v>
      </c>
      <c r="D184" s="1">
        <v>40</v>
      </c>
      <c r="E184">
        <v>50</v>
      </c>
      <c r="F184" s="4">
        <v>43507</v>
      </c>
    </row>
    <row r="185" spans="1:6" x14ac:dyDescent="0.25">
      <c r="A185" t="s">
        <v>8</v>
      </c>
      <c r="B185" t="str">
        <f t="shared" si="3"/>
        <v>Aspiratori</v>
      </c>
      <c r="C185">
        <v>70</v>
      </c>
      <c r="D185" s="1">
        <v>40</v>
      </c>
      <c r="E185">
        <v>50</v>
      </c>
      <c r="F185" s="4">
        <v>43482</v>
      </c>
    </row>
    <row r="186" spans="1:6" x14ac:dyDescent="0.25">
      <c r="A186" t="s">
        <v>4</v>
      </c>
      <c r="B186" t="str">
        <f t="shared" si="3"/>
        <v>Pompe</v>
      </c>
      <c r="C186">
        <v>103</v>
      </c>
      <c r="D186" s="1">
        <v>55</v>
      </c>
      <c r="E186">
        <v>100</v>
      </c>
      <c r="F186" s="4">
        <v>43649</v>
      </c>
    </row>
    <row r="187" spans="1:6" x14ac:dyDescent="0.25">
      <c r="A187" t="s">
        <v>4</v>
      </c>
      <c r="B187" t="str">
        <f t="shared" si="3"/>
        <v>Pompe</v>
      </c>
      <c r="C187">
        <v>103</v>
      </c>
      <c r="D187" s="1">
        <v>55</v>
      </c>
      <c r="E187">
        <v>100</v>
      </c>
      <c r="F187" s="4">
        <v>43624</v>
      </c>
    </row>
    <row r="188" spans="1:6" x14ac:dyDescent="0.25">
      <c r="A188" t="s">
        <v>4</v>
      </c>
      <c r="B188" t="str">
        <f t="shared" si="3"/>
        <v>Pompe</v>
      </c>
      <c r="C188">
        <v>103</v>
      </c>
      <c r="D188" s="1">
        <v>55</v>
      </c>
      <c r="E188">
        <v>100</v>
      </c>
      <c r="F188" s="4">
        <v>43599</v>
      </c>
    </row>
    <row r="189" spans="1:6" x14ac:dyDescent="0.25">
      <c r="A189" t="s">
        <v>4</v>
      </c>
      <c r="B189" t="str">
        <f t="shared" si="3"/>
        <v>Pompe</v>
      </c>
      <c r="C189">
        <v>103</v>
      </c>
      <c r="D189" s="1">
        <v>55</v>
      </c>
      <c r="E189">
        <v>100</v>
      </c>
      <c r="F189" s="4">
        <v>43574</v>
      </c>
    </row>
    <row r="190" spans="1:6" x14ac:dyDescent="0.25">
      <c r="A190" t="s">
        <v>4</v>
      </c>
      <c r="B190" t="str">
        <f t="shared" si="3"/>
        <v>Pompe</v>
      </c>
      <c r="C190">
        <v>103</v>
      </c>
      <c r="D190" s="1">
        <v>55</v>
      </c>
      <c r="E190">
        <v>100</v>
      </c>
      <c r="F190" s="4">
        <v>43549</v>
      </c>
    </row>
    <row r="191" spans="1:6" x14ac:dyDescent="0.25">
      <c r="A191" t="s">
        <v>4</v>
      </c>
      <c r="B191" t="str">
        <f t="shared" si="3"/>
        <v>Pompe</v>
      </c>
      <c r="C191">
        <v>103</v>
      </c>
      <c r="D191" s="1">
        <v>55</v>
      </c>
      <c r="E191">
        <v>100</v>
      </c>
      <c r="F191" s="4">
        <v>43524</v>
      </c>
    </row>
    <row r="192" spans="1:6" x14ac:dyDescent="0.25">
      <c r="A192" t="s">
        <v>4</v>
      </c>
      <c r="B192" t="str">
        <f t="shared" si="3"/>
        <v>Pompe</v>
      </c>
      <c r="C192">
        <v>103</v>
      </c>
      <c r="D192" s="1">
        <v>55</v>
      </c>
      <c r="E192">
        <v>100</v>
      </c>
      <c r="F192" s="4">
        <v>43499</v>
      </c>
    </row>
    <row r="193" spans="1:6" x14ac:dyDescent="0.25">
      <c r="A193" t="s">
        <v>4</v>
      </c>
      <c r="B193" t="str">
        <f t="shared" si="3"/>
        <v>Pompe</v>
      </c>
      <c r="C193">
        <v>103</v>
      </c>
      <c r="D193" s="1">
        <v>55</v>
      </c>
      <c r="E193">
        <v>100</v>
      </c>
      <c r="F193" s="4">
        <v>43474</v>
      </c>
    </row>
    <row r="194" spans="1:6" x14ac:dyDescent="0.25">
      <c r="A194" t="s">
        <v>9</v>
      </c>
      <c r="B194" t="str">
        <f t="shared" si="3"/>
        <v>Pompe</v>
      </c>
      <c r="C194">
        <v>120</v>
      </c>
      <c r="D194" s="1">
        <v>55</v>
      </c>
      <c r="E194">
        <v>100</v>
      </c>
      <c r="F194" s="4">
        <v>43661</v>
      </c>
    </row>
    <row r="195" spans="1:6" x14ac:dyDescent="0.25">
      <c r="A195" t="s">
        <v>9</v>
      </c>
      <c r="B195" t="str">
        <f t="shared" ref="B195:B201" si="4">VLOOKUP(A195,$I$1:$J$26,2,FALSE)</f>
        <v>Pompe</v>
      </c>
      <c r="C195">
        <v>120</v>
      </c>
      <c r="D195" s="1">
        <v>55</v>
      </c>
      <c r="E195">
        <v>100</v>
      </c>
      <c r="F195" s="4">
        <v>43636</v>
      </c>
    </row>
    <row r="196" spans="1:6" x14ac:dyDescent="0.25">
      <c r="A196" t="s">
        <v>9</v>
      </c>
      <c r="B196" t="str">
        <f t="shared" si="4"/>
        <v>Pompe</v>
      </c>
      <c r="C196">
        <v>120</v>
      </c>
      <c r="D196" s="1">
        <v>55</v>
      </c>
      <c r="E196">
        <v>100</v>
      </c>
      <c r="F196" s="4">
        <v>43611</v>
      </c>
    </row>
    <row r="197" spans="1:6" x14ac:dyDescent="0.25">
      <c r="A197" t="s">
        <v>9</v>
      </c>
      <c r="B197" t="str">
        <f t="shared" si="4"/>
        <v>Pompe</v>
      </c>
      <c r="C197">
        <v>120</v>
      </c>
      <c r="D197" s="1">
        <v>55</v>
      </c>
      <c r="E197">
        <v>100</v>
      </c>
      <c r="F197" s="4">
        <v>43586</v>
      </c>
    </row>
    <row r="198" spans="1:6" x14ac:dyDescent="0.25">
      <c r="A198" t="s">
        <v>9</v>
      </c>
      <c r="B198" t="str">
        <f t="shared" si="4"/>
        <v>Pompe</v>
      </c>
      <c r="C198">
        <v>120</v>
      </c>
      <c r="D198" s="1">
        <v>55</v>
      </c>
      <c r="E198">
        <v>100</v>
      </c>
      <c r="F198" s="4">
        <v>43561</v>
      </c>
    </row>
    <row r="199" spans="1:6" x14ac:dyDescent="0.25">
      <c r="A199" t="s">
        <v>9</v>
      </c>
      <c r="B199" t="str">
        <f t="shared" si="4"/>
        <v>Pompe</v>
      </c>
      <c r="C199">
        <v>120</v>
      </c>
      <c r="D199" s="1">
        <v>55</v>
      </c>
      <c r="E199">
        <v>100</v>
      </c>
      <c r="F199" s="4">
        <v>43536</v>
      </c>
    </row>
    <row r="200" spans="1:6" x14ac:dyDescent="0.25">
      <c r="A200" t="s">
        <v>9</v>
      </c>
      <c r="B200" t="str">
        <f t="shared" si="4"/>
        <v>Pompe</v>
      </c>
      <c r="C200">
        <v>120</v>
      </c>
      <c r="D200" s="1">
        <v>55</v>
      </c>
      <c r="E200">
        <v>100</v>
      </c>
      <c r="F200" s="4">
        <v>43511</v>
      </c>
    </row>
    <row r="201" spans="1:6" x14ac:dyDescent="0.25">
      <c r="A201" t="s">
        <v>9</v>
      </c>
      <c r="B201" t="str">
        <f t="shared" si="4"/>
        <v>Pompe</v>
      </c>
      <c r="C201">
        <v>120</v>
      </c>
      <c r="D201" s="1">
        <v>55</v>
      </c>
      <c r="E201">
        <v>100</v>
      </c>
      <c r="F201" s="4">
        <v>43486</v>
      </c>
    </row>
  </sheetData>
  <autoFilter ref="I1:J1" xr:uid="{6AB957E0-0313-44D3-A17F-EF329293DDAB}"/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9638-23A9-4C91-B1F8-0A465C91445B}">
  <dimension ref="A1"/>
  <sheetViews>
    <sheetView workbookViewId="0"/>
  </sheetViews>
  <sheetFormatPr defaultRowHeight="12.6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Prodotti</vt:lpstr>
      <vt:lpstr>Foglio1</vt:lpstr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2000-02-18T15:12:29Z</dcterms:created>
  <dcterms:modified xsi:type="dcterms:W3CDTF">2026-03-23T16:28:39Z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2025-05-27T08:34:40Z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95b331d2-fdd2-4bb9-bfcc-586cbdc04e5f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